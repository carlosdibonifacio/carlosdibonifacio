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carlosdibonifacio/Library/CloudStorage/Dropbox/doctorate/others/corrections_rene/calcul stochastique/"/>
    </mc:Choice>
  </mc:AlternateContent>
  <xr:revisionPtr revIDLastSave="0" documentId="13_ncr:1_{82020CB8-3A05-514E-B1E1-EE04D025B369}" xr6:coauthVersionLast="47" xr6:coauthVersionMax="47" xr10:uidLastSave="{00000000-0000-0000-0000-000000000000}"/>
  <bookViews>
    <workbookView xWindow="4420" yWindow="640" windowWidth="25820" windowHeight="17500" xr2:uid="{00000000-000D-0000-FFFF-FFFF00000000}"/>
  </bookViews>
  <sheets>
    <sheet name="Candidatures" sheetId="1" r:id="rId1"/>
  </sheets>
  <definedNames>
    <definedName name="_xlchart.v1.0" hidden="1">Candidatures!$E$6:$E$51</definedName>
    <definedName name="_xlchart.v1.1" hidden="1">Candidatures!$E$6:$E$51</definedName>
    <definedName name="_xlchart.v1.2" hidden="1">Candidatures!$E$6:$E$51</definedName>
    <definedName name="_xlchart.v1.3" hidden="1">Candidatures!$E$6:$E$51</definedName>
    <definedName name="_xlchart.v1.4" hidden="1">Candidatures!$E$6:$E$51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E55" i="1"/>
  <c r="E54" i="1"/>
  <c r="E53" i="1"/>
  <c r="E27" i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E25" i="1"/>
  <c r="E26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<sst xmlns="http://schemas.openxmlformats.org/spreadsheetml/2006/main" count="241" uniqueCount="189">
  <si>
    <t>N° Candidature</t>
  </si>
  <si>
    <t>Civilité</t>
  </si>
  <si>
    <t>Nom</t>
  </si>
  <si>
    <t>Prénom</t>
  </si>
  <si>
    <t>22403644</t>
  </si>
  <si>
    <t>Madame</t>
  </si>
  <si>
    <t>ABBYAD</t>
  </si>
  <si>
    <t>MARIE</t>
  </si>
  <si>
    <t>22101856</t>
  </si>
  <si>
    <t>Monsieur</t>
  </si>
  <si>
    <t>AMIKLIOGLU</t>
  </si>
  <si>
    <t>CAGLA NAZ</t>
  </si>
  <si>
    <t>22000211</t>
  </si>
  <si>
    <t>AMIZET</t>
  </si>
  <si>
    <t>CASSANDRE</t>
  </si>
  <si>
    <t>22500856</t>
  </si>
  <si>
    <t>ANNON</t>
  </si>
  <si>
    <t>NICOLAS</t>
  </si>
  <si>
    <t>M5A272-M5I2</t>
  </si>
  <si>
    <t>BEN SASSI</t>
  </si>
  <si>
    <t>ILYES</t>
  </si>
  <si>
    <t>22101994</t>
  </si>
  <si>
    <t>BENJAMIN</t>
  </si>
  <si>
    <t>MARIANO</t>
  </si>
  <si>
    <t>22103677</t>
  </si>
  <si>
    <t>BENKHALED</t>
  </si>
  <si>
    <t>LISA</t>
  </si>
  <si>
    <t>BERTHOLD</t>
  </si>
  <si>
    <t>PIERRE</t>
  </si>
  <si>
    <t>22502245</t>
  </si>
  <si>
    <t>BETTON</t>
  </si>
  <si>
    <t>THOMAS</t>
  </si>
  <si>
    <t>22504649</t>
  </si>
  <si>
    <t>BEZARD</t>
  </si>
  <si>
    <t>Antonin</t>
  </si>
  <si>
    <t>22102059</t>
  </si>
  <si>
    <t>BOREAN</t>
  </si>
  <si>
    <t>ROMAIN</t>
  </si>
  <si>
    <t>22002056</t>
  </si>
  <si>
    <t>BOURHIM</t>
  </si>
  <si>
    <t>YASMINA</t>
  </si>
  <si>
    <t>21908176</t>
  </si>
  <si>
    <t>BOUSSELMAM</t>
  </si>
  <si>
    <t>ADAM</t>
  </si>
  <si>
    <t>22101826</t>
  </si>
  <si>
    <t>CALAQUE</t>
  </si>
  <si>
    <t>MARIUS</t>
  </si>
  <si>
    <t>22501075</t>
  </si>
  <si>
    <t>CHANDECLER</t>
  </si>
  <si>
    <t>ANTOINE</t>
  </si>
  <si>
    <t>22101459</t>
  </si>
  <si>
    <t>CHERIFI</t>
  </si>
  <si>
    <t>DHELIA</t>
  </si>
  <si>
    <t>22302725</t>
  </si>
  <si>
    <t>CHIKHI</t>
  </si>
  <si>
    <t>NOAH</t>
  </si>
  <si>
    <t>22504461</t>
  </si>
  <si>
    <t>CURTI</t>
  </si>
  <si>
    <t>ALEXANDRE</t>
  </si>
  <si>
    <t>22504779</t>
  </si>
  <si>
    <t>EL ARARI</t>
  </si>
  <si>
    <t>ZIAD</t>
  </si>
  <si>
    <t>22202432</t>
  </si>
  <si>
    <t>EVO</t>
  </si>
  <si>
    <t>ADRIEN</t>
  </si>
  <si>
    <t>22005295</t>
  </si>
  <si>
    <t>FRADI</t>
  </si>
  <si>
    <t>MOHAMED ISSAM</t>
  </si>
  <si>
    <t>22001261</t>
  </si>
  <si>
    <t>GAJIC</t>
  </si>
  <si>
    <t>MILOS</t>
  </si>
  <si>
    <t>22501218</t>
  </si>
  <si>
    <t>GERVAIS</t>
  </si>
  <si>
    <t>JUDITH</t>
  </si>
  <si>
    <t>22503754</t>
  </si>
  <si>
    <t>GIRAULT</t>
  </si>
  <si>
    <t>LOU</t>
  </si>
  <si>
    <t>22502173</t>
  </si>
  <si>
    <t>GOUTAY</t>
  </si>
  <si>
    <t>ELOI</t>
  </si>
  <si>
    <t>22000354</t>
  </si>
  <si>
    <t>GREGGIO</t>
  </si>
  <si>
    <t>ALIX</t>
  </si>
  <si>
    <t>21801896</t>
  </si>
  <si>
    <t>GUERIN</t>
  </si>
  <si>
    <t>SACHA</t>
  </si>
  <si>
    <t>22301142</t>
  </si>
  <si>
    <t>JEHANNIN</t>
  </si>
  <si>
    <t>MARC</t>
  </si>
  <si>
    <t>22004148</t>
  </si>
  <si>
    <t>JULIEN</t>
  </si>
  <si>
    <t>CHARLÈNE</t>
  </si>
  <si>
    <t>22001520</t>
  </si>
  <si>
    <t>KERROUM</t>
  </si>
  <si>
    <t>AYATE</t>
  </si>
  <si>
    <t>22001629</t>
  </si>
  <si>
    <t>KHAMSANE</t>
  </si>
  <si>
    <t>XIXI</t>
  </si>
  <si>
    <t>22203571</t>
  </si>
  <si>
    <t>LAHBIL</t>
  </si>
  <si>
    <t>ABDELHALIM</t>
  </si>
  <si>
    <t>22505811</t>
  </si>
  <si>
    <t>LE NET</t>
  </si>
  <si>
    <t>ARTHUR</t>
  </si>
  <si>
    <t>22500594</t>
  </si>
  <si>
    <t>LI</t>
  </si>
  <si>
    <t>CHENJIE</t>
  </si>
  <si>
    <t>22505671</t>
  </si>
  <si>
    <t>LIBERGE</t>
  </si>
  <si>
    <t>22001001</t>
  </si>
  <si>
    <t>LIESSE</t>
  </si>
  <si>
    <t>NATHAN</t>
  </si>
  <si>
    <t>22304246</t>
  </si>
  <si>
    <t>LIU</t>
  </si>
  <si>
    <t>DONGEN</t>
  </si>
  <si>
    <t>22200533</t>
  </si>
  <si>
    <t>MANNAI</t>
  </si>
  <si>
    <t>YASSINE</t>
  </si>
  <si>
    <t>22000161</t>
  </si>
  <si>
    <t>MEYER</t>
  </si>
  <si>
    <t>LOÉLIA</t>
  </si>
  <si>
    <t>22303369</t>
  </si>
  <si>
    <t>MONIZ</t>
  </si>
  <si>
    <t>22505666</t>
  </si>
  <si>
    <t>PAYA</t>
  </si>
  <si>
    <t>ELSA</t>
  </si>
  <si>
    <t>22503880</t>
  </si>
  <si>
    <t>RAIS</t>
  </si>
  <si>
    <t>CHADI</t>
  </si>
  <si>
    <t>22503008</t>
  </si>
  <si>
    <t>RENAULT</t>
  </si>
  <si>
    <t>LÉO</t>
  </si>
  <si>
    <t>22401342</t>
  </si>
  <si>
    <t>ROCHA MOND</t>
  </si>
  <si>
    <t>HUGO</t>
  </si>
  <si>
    <t>22303706</t>
  </si>
  <si>
    <t>SALIOU</t>
  </si>
  <si>
    <t>YVES-MARIE</t>
  </si>
  <si>
    <t>22301898</t>
  </si>
  <si>
    <t>SCHMITT</t>
  </si>
  <si>
    <t>REMI</t>
  </si>
  <si>
    <t>22001756</t>
  </si>
  <si>
    <t>SERICOLA</t>
  </si>
  <si>
    <t>22202254</t>
  </si>
  <si>
    <t>VENOU</t>
  </si>
  <si>
    <t>GOPI</t>
  </si>
  <si>
    <t>22500912</t>
  </si>
  <si>
    <t>VERDELHAN</t>
  </si>
  <si>
    <t>THÉO</t>
  </si>
  <si>
    <t>22404223</t>
  </si>
  <si>
    <t>VU</t>
  </si>
  <si>
    <t>LAN PHUONG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</si>
  <si>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</si>
  <si>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</si>
  <si>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</si>
  <si>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</si>
  <si>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</si>
  <si>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</si>
  <si>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</si>
  <si>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</si>
  <si>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</si>
  <si>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</si>
  <si>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</si>
  <si>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</si>
  <si>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</si>
  <si>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</si>
  <si>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</si>
  <si>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</si>
  <si>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</si>
  <si>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</si>
  <si>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</si>
  <si>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</si>
  <si>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</si>
  <si>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</si>
  <si>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</si>
  <si>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</si>
  <si>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</si>
  <si>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</si>
  <si>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</si>
  <si>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</si>
  <si>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</si>
  <si>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</si>
  <si>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Sum</t>
  </si>
  <si>
    <t>Q31</t>
  </si>
  <si>
    <t>Q32</t>
  </si>
  <si>
    <t xml:space="preserve">max </t>
  </si>
  <si>
    <t>min</t>
  </si>
  <si>
    <t xml:space="preserve">mean 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</si>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</sst>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1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</a:t>
          </a:r>
        </a:p>
      </cx:txPr>
    </cx:title>
    <cx:plotArea>
      <cx:plotAreaRegion>
        <cx:series layoutId="clusteredColumn" uniqueId="{DDB97EFF-5B7B-184E-8D00-E27727BE26C2}">
          <cx:dataPt idx="2"/>
          <cx:dataId val="0"/>
          <cx:layoutPr>
            <cx:binning intervalClosed="r">
              <cx:binSize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51</xdr:row>
      <xdr:rowOff>146050</xdr:rowOff>
    </xdr:from>
    <xdr:to>
      <xdr:col>23</xdr:col>
      <xdr:colOff>127000</xdr:colOff>
      <xdr:row>66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AF1581D-C524-38FD-C1D5-C25DE55619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8200" y="986155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6"/>
  <sheetViews>
    <sheetView tabSelected="1" topLeftCell="A27" workbookViewId="0">
      <selection activeCell="E51" sqref="E51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16" customWidth="1"/>
    <col min="4" max="4" width="18" customWidth="1"/>
    <col min="5" max="5" width="4.83203125" customWidth="1"/>
    <col min="6" max="37" width="4.66406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182</v>
      </c>
      <c r="F1" s="4" t="s">
        <v>152</v>
      </c>
      <c r="G1" s="4" t="s">
        <v>153</v>
      </c>
      <c r="H1" s="4" t="s">
        <v>154</v>
      </c>
      <c r="I1" s="4" t="s">
        <v>155</v>
      </c>
      <c r="J1" s="4" t="s">
        <v>156</v>
      </c>
      <c r="K1" s="4" t="s">
        <v>157</v>
      </c>
      <c r="L1" s="4" t="s">
        <v>158</v>
      </c>
      <c r="M1" s="4" t="s">
        <v>159</v>
      </c>
      <c r="N1" s="4" t="s">
        <v>160</v>
      </c>
      <c r="O1" s="4" t="s">
        <v>161</v>
      </c>
      <c r="P1" s="4" t="s">
        <v>162</v>
      </c>
      <c r="Q1" s="4" t="s">
        <v>163</v>
      </c>
      <c r="R1" s="4" t="s">
        <v>164</v>
      </c>
      <c r="S1" s="4" t="s">
        <v>165</v>
      </c>
      <c r="T1" s="4" t="s">
        <v>166</v>
      </c>
      <c r="U1" s="4" t="s">
        <v>167</v>
      </c>
      <c r="V1" s="4" t="s">
        <v>168</v>
      </c>
      <c r="W1" s="4" t="s">
        <v>169</v>
      </c>
      <c r="X1" s="4" t="s">
        <v>170</v>
      </c>
      <c r="Y1" s="4" t="s">
        <v>171</v>
      </c>
      <c r="Z1" s="4" t="s">
        <v>172</v>
      </c>
      <c r="AA1" s="4" t="s">
        <v>173</v>
      </c>
      <c r="AB1" s="4" t="s">
        <v>174</v>
      </c>
      <c r="AC1" s="4" t="s">
        <v>175</v>
      </c>
      <c r="AD1" s="4" t="s">
        <v>176</v>
      </c>
      <c r="AE1" s="4" t="s">
        <v>177</v>
      </c>
      <c r="AF1" s="4" t="s">
        <v>178</v>
      </c>
      <c r="AG1" s="4" t="s">
        <v>179</v>
      </c>
      <c r="AH1" s="4" t="s">
        <v>180</v>
      </c>
      <c r="AI1" s="4" t="s">
        <v>181</v>
      </c>
      <c r="AJ1" s="4" t="s">
        <v>183</v>
      </c>
      <c r="AK1" s="4" t="s">
        <v>184</v>
      </c>
    </row>
    <row r="2" spans="1:37" x14ac:dyDescent="0.2">
      <c r="A2" s="2" t="s">
        <v>4</v>
      </c>
      <c r="B2" s="2" t="s">
        <v>5</v>
      </c>
      <c r="C2" s="2" t="s">
        <v>6</v>
      </c>
      <c r="D2" s="2" t="s">
        <v>7</v>
      </c>
      <c r="E2" s="5">
        <f>SUM(F2:AI2)</f>
        <v>20</v>
      </c>
      <c r="F2" s="5">
        <v>1</v>
      </c>
      <c r="G2" s="5">
        <v>1</v>
      </c>
      <c r="H2" s="5">
        <v>1</v>
      </c>
      <c r="I2" s="5">
        <v>1</v>
      </c>
      <c r="J2" s="5">
        <v>0</v>
      </c>
      <c r="K2" s="5">
        <v>1</v>
      </c>
      <c r="L2" s="5">
        <v>1</v>
      </c>
      <c r="M2" s="5">
        <v>1</v>
      </c>
      <c r="N2" s="5">
        <v>1</v>
      </c>
      <c r="O2" s="5">
        <v>0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0</v>
      </c>
      <c r="W2" s="5">
        <v>1</v>
      </c>
      <c r="X2" s="5">
        <v>1</v>
      </c>
      <c r="Y2" s="5">
        <v>1</v>
      </c>
      <c r="Z2" s="5">
        <v>0</v>
      </c>
      <c r="AA2" s="5">
        <v>1</v>
      </c>
      <c r="AB2" s="5">
        <v>0</v>
      </c>
      <c r="AC2" s="5">
        <v>0</v>
      </c>
      <c r="AD2" s="5">
        <v>1</v>
      </c>
      <c r="AE2" s="5">
        <v>1</v>
      </c>
      <c r="AF2" s="5">
        <v>0</v>
      </c>
      <c r="AG2" s="5">
        <v>1</v>
      </c>
      <c r="AH2" s="5">
        <v>0</v>
      </c>
      <c r="AI2" s="5">
        <v>0</v>
      </c>
      <c r="AJ2" s="5">
        <v>0</v>
      </c>
      <c r="AK2" s="5">
        <v>0</v>
      </c>
    </row>
    <row r="3" spans="1:37" x14ac:dyDescent="0.2">
      <c r="A3" s="2" t="s">
        <v>8</v>
      </c>
      <c r="B3" s="2" t="s">
        <v>9</v>
      </c>
      <c r="C3" s="2" t="s">
        <v>10</v>
      </c>
      <c r="D3" s="2" t="s">
        <v>11</v>
      </c>
      <c r="E3" s="5">
        <f t="shared" ref="E3:E51" si="0">SUM(F3:AI3)</f>
        <v>12</v>
      </c>
      <c r="F3" s="5">
        <v>1</v>
      </c>
      <c r="G3" s="5">
        <v>1</v>
      </c>
      <c r="H3" s="5">
        <v>1</v>
      </c>
      <c r="I3" s="5">
        <v>0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5">
        <v>0</v>
      </c>
      <c r="X3" s="5">
        <v>0</v>
      </c>
      <c r="Y3" s="5">
        <v>0</v>
      </c>
      <c r="Z3" s="5">
        <v>1</v>
      </c>
      <c r="AA3" s="5">
        <v>0</v>
      </c>
      <c r="AB3" s="5">
        <v>0</v>
      </c>
      <c r="AC3" s="5">
        <v>0</v>
      </c>
      <c r="AD3" s="5">
        <v>0</v>
      </c>
      <c r="AE3" s="5">
        <v>1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</row>
    <row r="4" spans="1:37" x14ac:dyDescent="0.2">
      <c r="A4" s="2" t="s">
        <v>12</v>
      </c>
      <c r="B4" s="2" t="s">
        <v>5</v>
      </c>
      <c r="C4" s="2" t="s">
        <v>13</v>
      </c>
      <c r="D4" s="2" t="s">
        <v>14</v>
      </c>
      <c r="E4" s="5">
        <f t="shared" si="0"/>
        <v>8</v>
      </c>
      <c r="F4" s="5">
        <v>1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1</v>
      </c>
      <c r="AB4" s="5">
        <v>0</v>
      </c>
      <c r="AC4" s="5">
        <v>0</v>
      </c>
      <c r="AD4" s="5">
        <v>1</v>
      </c>
      <c r="AE4" s="5">
        <v>1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</row>
    <row r="5" spans="1:37" x14ac:dyDescent="0.2">
      <c r="A5" s="2" t="s">
        <v>15</v>
      </c>
      <c r="B5" s="2" t="s">
        <v>9</v>
      </c>
      <c r="C5" s="2" t="s">
        <v>16</v>
      </c>
      <c r="D5" s="2" t="s">
        <v>17</v>
      </c>
      <c r="E5" s="5">
        <f t="shared" si="0"/>
        <v>8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1</v>
      </c>
      <c r="N5" s="5">
        <v>0</v>
      </c>
      <c r="O5" s="5">
        <v>1</v>
      </c>
      <c r="P5" s="5">
        <v>1</v>
      </c>
      <c r="Q5" s="5">
        <v>1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1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</row>
    <row r="6" spans="1:37" x14ac:dyDescent="0.2">
      <c r="A6" s="7" t="s">
        <v>18</v>
      </c>
      <c r="B6" s="7" t="s">
        <v>9</v>
      </c>
      <c r="C6" s="7" t="s">
        <v>19</v>
      </c>
      <c r="D6" s="7" t="s">
        <v>20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37" x14ac:dyDescent="0.2">
      <c r="A7" s="2" t="s">
        <v>21</v>
      </c>
      <c r="B7" s="2" t="s">
        <v>9</v>
      </c>
      <c r="C7" s="2" t="s">
        <v>22</v>
      </c>
      <c r="D7" s="2" t="s">
        <v>23</v>
      </c>
      <c r="E7" s="5">
        <f t="shared" si="0"/>
        <v>14</v>
      </c>
      <c r="F7" s="5">
        <v>1</v>
      </c>
      <c r="G7" s="5">
        <v>1</v>
      </c>
      <c r="H7" s="5">
        <v>1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0</v>
      </c>
      <c r="W7" s="5">
        <v>1</v>
      </c>
      <c r="X7" s="5">
        <v>0</v>
      </c>
      <c r="Y7" s="5">
        <v>0</v>
      </c>
      <c r="Z7" s="5">
        <v>0</v>
      </c>
      <c r="AA7" s="5">
        <v>1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</row>
    <row r="8" spans="1:37" x14ac:dyDescent="0.2">
      <c r="A8" s="2" t="s">
        <v>24</v>
      </c>
      <c r="B8" s="2" t="s">
        <v>9</v>
      </c>
      <c r="C8" s="2" t="s">
        <v>25</v>
      </c>
      <c r="D8" s="2" t="s">
        <v>26</v>
      </c>
      <c r="E8" s="5">
        <f t="shared" si="0"/>
        <v>6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1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</row>
    <row r="9" spans="1:37" x14ac:dyDescent="0.2">
      <c r="A9" s="2" t="s">
        <v>18</v>
      </c>
      <c r="B9" s="2" t="s">
        <v>9</v>
      </c>
      <c r="C9" s="2" t="s">
        <v>27</v>
      </c>
      <c r="D9" s="2" t="s">
        <v>28</v>
      </c>
      <c r="E9" s="5">
        <f t="shared" si="0"/>
        <v>14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0</v>
      </c>
      <c r="N9" s="5">
        <v>0</v>
      </c>
      <c r="O9" s="5">
        <v>0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</row>
    <row r="10" spans="1:37" x14ac:dyDescent="0.2">
      <c r="A10" s="2" t="s">
        <v>29</v>
      </c>
      <c r="B10" s="2" t="s">
        <v>9</v>
      </c>
      <c r="C10" s="2" t="s">
        <v>30</v>
      </c>
      <c r="D10" s="2" t="s">
        <v>31</v>
      </c>
      <c r="E10" s="5">
        <f t="shared" si="0"/>
        <v>15</v>
      </c>
      <c r="F10" s="5">
        <v>1</v>
      </c>
      <c r="G10" s="5">
        <v>1</v>
      </c>
      <c r="H10" s="5">
        <v>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0</v>
      </c>
      <c r="X10" s="5">
        <v>1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</row>
    <row r="11" spans="1:37" x14ac:dyDescent="0.2">
      <c r="A11" s="2" t="s">
        <v>32</v>
      </c>
      <c r="B11" s="2" t="s">
        <v>9</v>
      </c>
      <c r="C11" s="2" t="s">
        <v>33</v>
      </c>
      <c r="D11" s="2" t="s">
        <v>34</v>
      </c>
      <c r="E11" s="5">
        <f t="shared" si="0"/>
        <v>15</v>
      </c>
      <c r="F11" s="5">
        <v>0</v>
      </c>
      <c r="G11" s="5">
        <v>1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0</v>
      </c>
      <c r="W11" s="5">
        <v>0</v>
      </c>
      <c r="X11" s="5">
        <v>0</v>
      </c>
      <c r="Y11" s="5">
        <v>1</v>
      </c>
      <c r="Z11" s="5">
        <v>0</v>
      </c>
      <c r="AA11" s="5">
        <v>1</v>
      </c>
      <c r="AB11" s="5">
        <v>1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x14ac:dyDescent="0.2">
      <c r="A12" s="2" t="s">
        <v>35</v>
      </c>
      <c r="B12" s="2" t="s">
        <v>9</v>
      </c>
      <c r="C12" s="2" t="s">
        <v>36</v>
      </c>
      <c r="D12" s="2" t="s">
        <v>37</v>
      </c>
      <c r="E12" s="5">
        <f t="shared" si="0"/>
        <v>9</v>
      </c>
      <c r="F12" s="5">
        <v>1</v>
      </c>
      <c r="G12" s="5">
        <v>1</v>
      </c>
      <c r="H12" s="5">
        <v>1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1</v>
      </c>
      <c r="Z12" s="5">
        <v>0</v>
      </c>
      <c r="AA12" s="5">
        <v>0</v>
      </c>
      <c r="AB12" s="5">
        <v>0</v>
      </c>
      <c r="AC12" s="5">
        <v>0</v>
      </c>
      <c r="AD12" s="5">
        <v>1</v>
      </c>
      <c r="AE12" s="5">
        <v>1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</row>
    <row r="13" spans="1:37" x14ac:dyDescent="0.2">
      <c r="A13" s="3" t="s">
        <v>38</v>
      </c>
      <c r="B13" s="3" t="s">
        <v>5</v>
      </c>
      <c r="C13" s="3" t="s">
        <v>39</v>
      </c>
      <c r="D13" s="3" t="s">
        <v>40</v>
      </c>
      <c r="E13" s="5">
        <f t="shared" si="0"/>
        <v>21</v>
      </c>
      <c r="F13" s="5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0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0</v>
      </c>
      <c r="Z13" s="5">
        <v>0</v>
      </c>
      <c r="AA13" s="5">
        <v>1</v>
      </c>
      <c r="AB13" s="5">
        <v>0</v>
      </c>
      <c r="AC13" s="5">
        <v>0</v>
      </c>
      <c r="AD13" s="5">
        <v>0</v>
      </c>
      <c r="AE13" s="5">
        <v>1</v>
      </c>
      <c r="AF13" s="5">
        <v>1</v>
      </c>
      <c r="AG13" s="5">
        <v>1</v>
      </c>
      <c r="AH13" s="5">
        <v>0</v>
      </c>
      <c r="AI13" s="5">
        <v>0</v>
      </c>
      <c r="AJ13" s="5">
        <v>1</v>
      </c>
      <c r="AK13" s="5">
        <v>1</v>
      </c>
    </row>
    <row r="14" spans="1:37" x14ac:dyDescent="0.2">
      <c r="A14" s="2" t="s">
        <v>41</v>
      </c>
      <c r="B14" s="2" t="s">
        <v>9</v>
      </c>
      <c r="C14" s="2" t="s">
        <v>42</v>
      </c>
      <c r="D14" s="2" t="s">
        <v>43</v>
      </c>
      <c r="E14" s="5">
        <f t="shared" si="0"/>
        <v>6</v>
      </c>
      <c r="F14" s="5">
        <v>1</v>
      </c>
      <c r="G14" s="5">
        <v>1</v>
      </c>
      <c r="H14" s="5">
        <v>1</v>
      </c>
      <c r="I14" s="5">
        <v>0</v>
      </c>
      <c r="J14" s="5">
        <v>0</v>
      </c>
      <c r="K14" s="5">
        <v>1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</row>
    <row r="15" spans="1:37" x14ac:dyDescent="0.2">
      <c r="A15" s="2" t="s">
        <v>44</v>
      </c>
      <c r="B15" s="2" t="s">
        <v>9</v>
      </c>
      <c r="C15" s="2" t="s">
        <v>45</v>
      </c>
      <c r="D15" s="2" t="s">
        <v>46</v>
      </c>
      <c r="E15" s="5">
        <f t="shared" si="0"/>
        <v>16</v>
      </c>
      <c r="F15" s="5">
        <v>1</v>
      </c>
      <c r="G15" s="5">
        <v>1</v>
      </c>
      <c r="H15" s="5">
        <v>1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0</v>
      </c>
      <c r="U15" s="5">
        <v>1</v>
      </c>
      <c r="V15" s="5">
        <v>0</v>
      </c>
      <c r="W15" s="5">
        <v>1</v>
      </c>
      <c r="X15" s="5">
        <v>0</v>
      </c>
      <c r="Y15" s="5">
        <v>0</v>
      </c>
      <c r="Z15" s="5">
        <v>0</v>
      </c>
      <c r="AA15" s="5">
        <v>1</v>
      </c>
      <c r="AB15" s="5">
        <v>1</v>
      </c>
      <c r="AC15" s="5">
        <v>1</v>
      </c>
      <c r="AD15" s="5">
        <v>0</v>
      </c>
      <c r="AE15" s="5">
        <v>0</v>
      </c>
      <c r="AF15" s="5">
        <v>0</v>
      </c>
      <c r="AG15" s="5">
        <v>1</v>
      </c>
      <c r="AH15" s="5">
        <v>0</v>
      </c>
      <c r="AI15" s="5">
        <v>0</v>
      </c>
      <c r="AJ15" s="5">
        <v>0</v>
      </c>
      <c r="AK15" s="5">
        <v>0</v>
      </c>
    </row>
    <row r="16" spans="1:37" x14ac:dyDescent="0.2">
      <c r="A16" s="2" t="s">
        <v>47</v>
      </c>
      <c r="B16" s="2" t="s">
        <v>9</v>
      </c>
      <c r="C16" s="2" t="s">
        <v>48</v>
      </c>
      <c r="D16" s="2" t="s">
        <v>49</v>
      </c>
      <c r="E16" s="5">
        <f t="shared" si="0"/>
        <v>12</v>
      </c>
      <c r="F16" s="5">
        <v>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1</v>
      </c>
      <c r="R16" s="5">
        <v>1</v>
      </c>
      <c r="S16" s="5">
        <v>1</v>
      </c>
      <c r="T16" s="5">
        <v>0</v>
      </c>
      <c r="U16" s="5">
        <v>1</v>
      </c>
      <c r="V16" s="5">
        <v>0</v>
      </c>
      <c r="W16" s="5">
        <v>1</v>
      </c>
      <c r="X16" s="5">
        <v>1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</v>
      </c>
      <c r="AE16" s="5">
        <v>0</v>
      </c>
      <c r="AF16" s="5">
        <v>0</v>
      </c>
      <c r="AG16" s="5">
        <v>1</v>
      </c>
      <c r="AH16" s="5">
        <v>0</v>
      </c>
      <c r="AI16" s="5">
        <v>0</v>
      </c>
      <c r="AJ16" s="5">
        <v>0</v>
      </c>
      <c r="AK16" s="5">
        <v>0</v>
      </c>
    </row>
    <row r="17" spans="1:37" x14ac:dyDescent="0.2">
      <c r="A17" s="2" t="s">
        <v>50</v>
      </c>
      <c r="B17" s="2" t="s">
        <v>5</v>
      </c>
      <c r="C17" s="2" t="s">
        <v>51</v>
      </c>
      <c r="D17" s="2" t="s">
        <v>52</v>
      </c>
      <c r="E17" s="5">
        <f t="shared" si="0"/>
        <v>15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1</v>
      </c>
      <c r="T17" s="5">
        <v>1</v>
      </c>
      <c r="U17" s="5">
        <v>1</v>
      </c>
      <c r="V17" s="5">
        <v>1</v>
      </c>
      <c r="W17" s="5">
        <v>0</v>
      </c>
      <c r="X17" s="5">
        <v>1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1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1</v>
      </c>
    </row>
    <row r="18" spans="1:37" x14ac:dyDescent="0.2">
      <c r="A18" s="2" t="s">
        <v>53</v>
      </c>
      <c r="B18" s="2" t="s">
        <v>9</v>
      </c>
      <c r="C18" s="2" t="s">
        <v>54</v>
      </c>
      <c r="D18" s="2" t="s">
        <v>55</v>
      </c>
      <c r="E18" s="5">
        <f t="shared" si="0"/>
        <v>15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0</v>
      </c>
      <c r="AB18" s="5">
        <v>0</v>
      </c>
      <c r="AC18" s="5">
        <v>0</v>
      </c>
      <c r="AD18" s="5">
        <v>0</v>
      </c>
      <c r="AE18" s="5">
        <v>1</v>
      </c>
      <c r="AF18" s="5">
        <v>0</v>
      </c>
      <c r="AG18" s="5">
        <v>0</v>
      </c>
      <c r="AH18" s="5">
        <v>1</v>
      </c>
      <c r="AI18" s="5">
        <v>0</v>
      </c>
      <c r="AJ18" s="5">
        <v>0</v>
      </c>
      <c r="AK18" s="5">
        <v>0</v>
      </c>
    </row>
    <row r="19" spans="1:37" x14ac:dyDescent="0.2">
      <c r="A19" s="7" t="s">
        <v>56</v>
      </c>
      <c r="B19" s="7" t="s">
        <v>9</v>
      </c>
      <c r="C19" s="7" t="s">
        <v>57</v>
      </c>
      <c r="D19" s="7" t="s">
        <v>58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</row>
    <row r="20" spans="1:37" x14ac:dyDescent="0.2">
      <c r="A20" s="2" t="s">
        <v>59</v>
      </c>
      <c r="B20" s="2" t="s">
        <v>9</v>
      </c>
      <c r="C20" s="2" t="s">
        <v>60</v>
      </c>
      <c r="D20" s="2" t="s">
        <v>61</v>
      </c>
      <c r="E20" s="5">
        <f t="shared" si="0"/>
        <v>5</v>
      </c>
      <c r="F20" s="5">
        <v>1</v>
      </c>
      <c r="G20" s="5">
        <v>1</v>
      </c>
      <c r="H20" s="5">
        <v>0</v>
      </c>
      <c r="I20" s="5">
        <v>0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</row>
    <row r="21" spans="1:37" x14ac:dyDescent="0.2">
      <c r="A21" s="2" t="s">
        <v>62</v>
      </c>
      <c r="B21" s="2" t="s">
        <v>9</v>
      </c>
      <c r="C21" s="2" t="s">
        <v>63</v>
      </c>
      <c r="D21" s="2" t="s">
        <v>64</v>
      </c>
      <c r="E21" s="5">
        <f t="shared" si="0"/>
        <v>7</v>
      </c>
      <c r="F21" s="5">
        <v>1</v>
      </c>
      <c r="G21" s="5">
        <v>0</v>
      </c>
      <c r="H21" s="5">
        <v>1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1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</row>
    <row r="22" spans="1:37" x14ac:dyDescent="0.2">
      <c r="A22" s="2" t="s">
        <v>65</v>
      </c>
      <c r="B22" s="2" t="s">
        <v>9</v>
      </c>
      <c r="C22" s="2" t="s">
        <v>66</v>
      </c>
      <c r="D22" s="2" t="s">
        <v>67</v>
      </c>
      <c r="E22" s="5">
        <f t="shared" si="0"/>
        <v>16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0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0</v>
      </c>
      <c r="W22" s="5">
        <v>0</v>
      </c>
      <c r="X22" s="5">
        <v>1</v>
      </c>
      <c r="Y22" s="5">
        <v>1</v>
      </c>
      <c r="Z22" s="5">
        <v>0</v>
      </c>
      <c r="AA22" s="5">
        <v>1</v>
      </c>
      <c r="AB22" s="5">
        <v>0</v>
      </c>
      <c r="AC22" s="5">
        <v>0</v>
      </c>
      <c r="AD22" s="5">
        <v>1</v>
      </c>
      <c r="AE22" s="5">
        <v>0</v>
      </c>
      <c r="AF22" s="5">
        <v>0</v>
      </c>
      <c r="AG22" s="5">
        <v>0</v>
      </c>
      <c r="AH22" s="5">
        <v>1</v>
      </c>
      <c r="AI22" s="5">
        <v>0</v>
      </c>
      <c r="AJ22" s="5">
        <v>0</v>
      </c>
      <c r="AK22" s="5">
        <v>0</v>
      </c>
    </row>
    <row r="23" spans="1:37" x14ac:dyDescent="0.2">
      <c r="A23" s="2" t="s">
        <v>68</v>
      </c>
      <c r="B23" s="2" t="s">
        <v>9</v>
      </c>
      <c r="C23" s="2" t="s">
        <v>69</v>
      </c>
      <c r="D23" s="2" t="s">
        <v>70</v>
      </c>
      <c r="E23" s="5">
        <f t="shared" si="0"/>
        <v>18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  <c r="Y23" s="5">
        <v>1</v>
      </c>
      <c r="Z23" s="5">
        <v>0</v>
      </c>
      <c r="AA23" s="5">
        <v>1</v>
      </c>
      <c r="AB23" s="5">
        <v>0</v>
      </c>
      <c r="AC23" s="5">
        <v>0</v>
      </c>
      <c r="AD23" s="5">
        <v>1</v>
      </c>
      <c r="AE23" s="5">
        <v>1</v>
      </c>
      <c r="AF23" s="5">
        <v>0</v>
      </c>
      <c r="AG23" s="5">
        <v>1</v>
      </c>
      <c r="AH23" s="5">
        <v>1</v>
      </c>
      <c r="AI23" s="5">
        <v>0</v>
      </c>
      <c r="AJ23" s="5">
        <v>0</v>
      </c>
      <c r="AK23" s="5">
        <v>0</v>
      </c>
    </row>
    <row r="24" spans="1:37" x14ac:dyDescent="0.2">
      <c r="A24" s="2" t="s">
        <v>71</v>
      </c>
      <c r="B24" s="2" t="s">
        <v>5</v>
      </c>
      <c r="C24" s="2" t="s">
        <v>72</v>
      </c>
      <c r="D24" s="2" t="s">
        <v>73</v>
      </c>
      <c r="E24" s="5">
        <f t="shared" si="0"/>
        <v>12</v>
      </c>
      <c r="F24" s="5">
        <v>1</v>
      </c>
      <c r="G24" s="5">
        <v>0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0</v>
      </c>
      <c r="W24" s="5">
        <v>0</v>
      </c>
      <c r="X24" s="5">
        <v>1</v>
      </c>
      <c r="Y24" s="5">
        <v>1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</row>
    <row r="25" spans="1:37" x14ac:dyDescent="0.2">
      <c r="A25" s="2" t="s">
        <v>74</v>
      </c>
      <c r="B25" s="2" t="s">
        <v>5</v>
      </c>
      <c r="C25" s="2" t="s">
        <v>75</v>
      </c>
      <c r="D25" s="2" t="s">
        <v>76</v>
      </c>
      <c r="E25" s="5">
        <f t="shared" si="0"/>
        <v>24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0</v>
      </c>
      <c r="M25" s="5">
        <v>0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0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0</v>
      </c>
      <c r="AC25" s="5">
        <v>0</v>
      </c>
      <c r="AD25" s="5">
        <v>1</v>
      </c>
      <c r="AE25" s="5">
        <v>1</v>
      </c>
      <c r="AF25" s="5">
        <v>0</v>
      </c>
      <c r="AG25" s="5">
        <v>1</v>
      </c>
      <c r="AH25" s="5">
        <v>1</v>
      </c>
      <c r="AI25" s="5">
        <v>1</v>
      </c>
      <c r="AJ25" s="5">
        <v>0</v>
      </c>
      <c r="AK25" s="5">
        <v>0</v>
      </c>
    </row>
    <row r="26" spans="1:37" x14ac:dyDescent="0.2">
      <c r="A26" s="2" t="s">
        <v>77</v>
      </c>
      <c r="B26" s="2" t="s">
        <v>9</v>
      </c>
      <c r="C26" s="2" t="s">
        <v>78</v>
      </c>
      <c r="D26" s="2" t="s">
        <v>79</v>
      </c>
      <c r="E26" s="5">
        <f t="shared" si="0"/>
        <v>15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1</v>
      </c>
      <c r="AB26" s="5">
        <v>0</v>
      </c>
      <c r="AC26" s="5">
        <v>1</v>
      </c>
      <c r="AD26" s="5">
        <v>0</v>
      </c>
      <c r="AE26" s="5">
        <v>1</v>
      </c>
      <c r="AF26" s="5">
        <v>0</v>
      </c>
      <c r="AG26" s="5">
        <v>0</v>
      </c>
      <c r="AH26" s="5">
        <v>1</v>
      </c>
      <c r="AI26" s="5">
        <v>0</v>
      </c>
      <c r="AJ26" s="5">
        <v>0</v>
      </c>
      <c r="AK26" s="5">
        <v>0</v>
      </c>
    </row>
    <row r="27" spans="1:37" x14ac:dyDescent="0.2">
      <c r="A27" s="2" t="s">
        <v>80</v>
      </c>
      <c r="B27" s="2" t="s">
        <v>5</v>
      </c>
      <c r="C27" s="2" t="s">
        <v>81</v>
      </c>
      <c r="D27" s="2" t="s">
        <v>82</v>
      </c>
      <c r="E27" s="5">
        <f t="shared" si="0"/>
        <v>18</v>
      </c>
      <c r="F27" s="5">
        <v>1</v>
      </c>
      <c r="G27" s="5">
        <v>1</v>
      </c>
      <c r="H27" s="5">
        <v>1</v>
      </c>
      <c r="I27" s="5">
        <v>0</v>
      </c>
      <c r="J27" s="5">
        <v>1</v>
      </c>
      <c r="K27" s="5">
        <v>1</v>
      </c>
      <c r="L27" s="5">
        <v>1</v>
      </c>
      <c r="M27" s="5">
        <v>1</v>
      </c>
      <c r="N27" s="5">
        <v>0</v>
      </c>
      <c r="O27" s="5">
        <v>0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0</v>
      </c>
      <c r="W27" s="5">
        <v>0</v>
      </c>
      <c r="X27" s="5">
        <v>1</v>
      </c>
      <c r="Y27" s="5">
        <v>1</v>
      </c>
      <c r="Z27" s="5">
        <v>0</v>
      </c>
      <c r="AA27" s="5">
        <v>1</v>
      </c>
      <c r="AB27" s="5">
        <v>0</v>
      </c>
      <c r="AC27" s="5">
        <v>0</v>
      </c>
      <c r="AD27" s="5">
        <v>0</v>
      </c>
      <c r="AE27" s="5">
        <v>1</v>
      </c>
      <c r="AF27" s="5">
        <v>0</v>
      </c>
      <c r="AG27" s="5">
        <v>0</v>
      </c>
      <c r="AH27" s="5">
        <v>1</v>
      </c>
      <c r="AI27" s="5">
        <v>0</v>
      </c>
      <c r="AJ27" s="5">
        <v>0</v>
      </c>
      <c r="AK27" s="5">
        <v>0</v>
      </c>
    </row>
    <row r="28" spans="1:37" x14ac:dyDescent="0.2">
      <c r="A28" s="2" t="s">
        <v>83</v>
      </c>
      <c r="B28" s="2" t="s">
        <v>9</v>
      </c>
      <c r="C28" s="2" t="s">
        <v>84</v>
      </c>
      <c r="D28" s="2" t="s">
        <v>85</v>
      </c>
      <c r="E28" s="5">
        <f t="shared" si="0"/>
        <v>19</v>
      </c>
      <c r="F28" s="5">
        <v>1</v>
      </c>
      <c r="G28" s="5">
        <v>1</v>
      </c>
      <c r="H28" s="5">
        <v>1</v>
      </c>
      <c r="I28" s="5">
        <v>0</v>
      </c>
      <c r="J28" s="5">
        <v>1</v>
      </c>
      <c r="K28" s="5">
        <v>1</v>
      </c>
      <c r="L28" s="5">
        <v>1</v>
      </c>
      <c r="M28" s="5">
        <v>0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0</v>
      </c>
      <c r="W28" s="5">
        <v>1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1</v>
      </c>
      <c r="AF28" s="5">
        <v>0</v>
      </c>
      <c r="AG28" s="5">
        <v>1</v>
      </c>
      <c r="AH28" s="5">
        <v>0</v>
      </c>
      <c r="AI28" s="5">
        <v>0</v>
      </c>
      <c r="AJ28" s="5">
        <v>0</v>
      </c>
      <c r="AK28" s="5">
        <v>0</v>
      </c>
    </row>
    <row r="29" spans="1:37" x14ac:dyDescent="0.2">
      <c r="A29" s="2" t="s">
        <v>86</v>
      </c>
      <c r="B29" s="2" t="s">
        <v>9</v>
      </c>
      <c r="C29" s="2" t="s">
        <v>87</v>
      </c>
      <c r="D29" s="2" t="s">
        <v>88</v>
      </c>
      <c r="E29" s="5">
        <f t="shared" si="0"/>
        <v>16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0</v>
      </c>
      <c r="M29" s="5">
        <v>1</v>
      </c>
      <c r="N29" s="5">
        <v>0</v>
      </c>
      <c r="O29" s="5">
        <v>0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0</v>
      </c>
      <c r="W29" s="5">
        <v>0</v>
      </c>
      <c r="X29" s="5">
        <v>1</v>
      </c>
      <c r="Y29" s="5">
        <v>0</v>
      </c>
      <c r="Z29" s="5">
        <v>0</v>
      </c>
      <c r="AA29" s="5">
        <v>1</v>
      </c>
      <c r="AB29" s="5">
        <v>0</v>
      </c>
      <c r="AC29" s="5">
        <v>0</v>
      </c>
      <c r="AD29" s="5">
        <v>1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</row>
    <row r="30" spans="1:37" x14ac:dyDescent="0.2">
      <c r="A30" s="2" t="s">
        <v>89</v>
      </c>
      <c r="B30" s="2" t="s">
        <v>5</v>
      </c>
      <c r="C30" s="2" t="s">
        <v>90</v>
      </c>
      <c r="D30" s="2" t="s">
        <v>91</v>
      </c>
      <c r="E30" s="5">
        <f t="shared" si="0"/>
        <v>7</v>
      </c>
      <c r="F30" s="5">
        <v>1</v>
      </c>
      <c r="G30" s="5">
        <v>1</v>
      </c>
      <c r="H30" s="5">
        <v>0</v>
      </c>
      <c r="I30" s="5">
        <v>1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</row>
    <row r="31" spans="1:37" x14ac:dyDescent="0.2">
      <c r="A31" s="2" t="s">
        <v>92</v>
      </c>
      <c r="B31" s="2" t="s">
        <v>5</v>
      </c>
      <c r="C31" s="2" t="s">
        <v>93</v>
      </c>
      <c r="D31" s="2" t="s">
        <v>94</v>
      </c>
      <c r="E31" s="5">
        <f t="shared" si="0"/>
        <v>27</v>
      </c>
      <c r="F31" s="5">
        <v>1</v>
      </c>
      <c r="G31" s="5">
        <v>1</v>
      </c>
      <c r="H31" s="5">
        <v>0</v>
      </c>
      <c r="I31" s="5">
        <v>1</v>
      </c>
      <c r="J31" s="5">
        <v>1</v>
      </c>
      <c r="K31" s="5">
        <v>1</v>
      </c>
      <c r="L31" s="5">
        <v>1</v>
      </c>
      <c r="M31" s="5">
        <v>0</v>
      </c>
      <c r="N31" s="5">
        <v>1</v>
      </c>
      <c r="O31" s="5">
        <v>0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0</v>
      </c>
      <c r="AK31" s="5">
        <v>0</v>
      </c>
    </row>
    <row r="32" spans="1:37" x14ac:dyDescent="0.2">
      <c r="A32" s="2" t="s">
        <v>95</v>
      </c>
      <c r="B32" s="2" t="s">
        <v>5</v>
      </c>
      <c r="C32" s="2" t="s">
        <v>96</v>
      </c>
      <c r="D32" s="2" t="s">
        <v>97</v>
      </c>
      <c r="E32" s="5">
        <f t="shared" si="0"/>
        <v>9</v>
      </c>
      <c r="F32" s="5">
        <v>1</v>
      </c>
      <c r="G32" s="5">
        <v>1</v>
      </c>
      <c r="H32" s="5">
        <v>0</v>
      </c>
      <c r="I32" s="5">
        <v>0</v>
      </c>
      <c r="J32" s="5">
        <v>0</v>
      </c>
      <c r="K32" s="5">
        <v>1</v>
      </c>
      <c r="L32" s="5">
        <v>0</v>
      </c>
      <c r="M32" s="5">
        <v>0</v>
      </c>
      <c r="N32" s="5">
        <v>0</v>
      </c>
      <c r="O32" s="5">
        <v>0</v>
      </c>
      <c r="P32" s="5">
        <v>1</v>
      </c>
      <c r="Q32" s="5">
        <v>1</v>
      </c>
      <c r="R32" s="5">
        <v>1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1</v>
      </c>
      <c r="AA32" s="5">
        <v>0</v>
      </c>
      <c r="AB32" s="5">
        <v>0</v>
      </c>
      <c r="AC32" s="5">
        <v>0</v>
      </c>
      <c r="AD32" s="5">
        <v>0</v>
      </c>
      <c r="AE32" s="5">
        <v>1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</row>
    <row r="33" spans="1:37" x14ac:dyDescent="0.2">
      <c r="A33" s="2" t="s">
        <v>98</v>
      </c>
      <c r="B33" s="2" t="s">
        <v>9</v>
      </c>
      <c r="C33" s="2" t="s">
        <v>99</v>
      </c>
      <c r="D33" s="2" t="s">
        <v>100</v>
      </c>
      <c r="E33" s="5">
        <f t="shared" si="0"/>
        <v>23</v>
      </c>
      <c r="F33" s="5">
        <v>0</v>
      </c>
      <c r="G33" s="5">
        <v>1</v>
      </c>
      <c r="H33" s="5">
        <v>1</v>
      </c>
      <c r="I33" s="5">
        <v>0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0</v>
      </c>
      <c r="P33" s="5">
        <v>1</v>
      </c>
      <c r="Q33" s="5">
        <v>1</v>
      </c>
      <c r="R33" s="5">
        <v>1</v>
      </c>
      <c r="S33" s="5">
        <v>1</v>
      </c>
      <c r="T33" s="5">
        <v>0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0</v>
      </c>
      <c r="AC33" s="5">
        <v>0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0</v>
      </c>
      <c r="AJ33" s="5">
        <v>0</v>
      </c>
      <c r="AK33" s="5">
        <v>0</v>
      </c>
    </row>
    <row r="34" spans="1:37" x14ac:dyDescent="0.2">
      <c r="A34" s="2" t="s">
        <v>101</v>
      </c>
      <c r="B34" s="2" t="s">
        <v>9</v>
      </c>
      <c r="C34" s="2" t="s">
        <v>102</v>
      </c>
      <c r="D34" s="2" t="s">
        <v>103</v>
      </c>
      <c r="E34" s="5">
        <f t="shared" si="0"/>
        <v>2</v>
      </c>
      <c r="F34" s="5">
        <v>1</v>
      </c>
      <c r="G34" s="5">
        <v>0</v>
      </c>
      <c r="H34" s="5">
        <v>0</v>
      </c>
      <c r="I34" s="5">
        <v>0</v>
      </c>
      <c r="J34" s="5">
        <v>0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</row>
    <row r="35" spans="1:37" x14ac:dyDescent="0.2">
      <c r="A35" s="2" t="s">
        <v>104</v>
      </c>
      <c r="B35" s="2" t="s">
        <v>9</v>
      </c>
      <c r="C35" s="2" t="s">
        <v>105</v>
      </c>
      <c r="D35" s="2" t="s">
        <v>106</v>
      </c>
      <c r="E35" s="5">
        <f t="shared" si="0"/>
        <v>20</v>
      </c>
      <c r="F35" s="5">
        <v>1</v>
      </c>
      <c r="G35" s="5">
        <v>1</v>
      </c>
      <c r="H35" s="5">
        <v>1</v>
      </c>
      <c r="I35" s="5">
        <v>0</v>
      </c>
      <c r="J35" s="5">
        <v>0</v>
      </c>
      <c r="K35" s="5">
        <v>1</v>
      </c>
      <c r="L35" s="5">
        <v>0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0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0</v>
      </c>
      <c r="AA35" s="5">
        <v>1</v>
      </c>
      <c r="AB35" s="5">
        <v>1</v>
      </c>
      <c r="AC35" s="5">
        <v>1</v>
      </c>
      <c r="AD35" s="5">
        <v>0</v>
      </c>
      <c r="AE35" s="5">
        <v>0</v>
      </c>
      <c r="AF35" s="5">
        <v>0</v>
      </c>
      <c r="AG35" s="5">
        <v>0</v>
      </c>
      <c r="AH35" s="5">
        <v>1</v>
      </c>
      <c r="AI35" s="5">
        <v>0</v>
      </c>
      <c r="AJ35" s="5">
        <v>0</v>
      </c>
      <c r="AK35" s="5">
        <v>1</v>
      </c>
    </row>
    <row r="36" spans="1:37" x14ac:dyDescent="0.2">
      <c r="A36" s="2" t="s">
        <v>107</v>
      </c>
      <c r="B36" s="2" t="s">
        <v>9</v>
      </c>
      <c r="C36" s="2" t="s">
        <v>108</v>
      </c>
      <c r="D36" s="2" t="s">
        <v>28</v>
      </c>
      <c r="E36" s="5">
        <f t="shared" si="0"/>
        <v>14</v>
      </c>
      <c r="F36" s="5">
        <v>1</v>
      </c>
      <c r="G36" s="5">
        <v>1</v>
      </c>
      <c r="H36" s="5">
        <v>1</v>
      </c>
      <c r="I36" s="5">
        <v>0</v>
      </c>
      <c r="J36" s="5">
        <v>0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0</v>
      </c>
      <c r="W36" s="5">
        <v>0</v>
      </c>
      <c r="X36" s="5">
        <v>1</v>
      </c>
      <c r="Y36" s="5">
        <v>1</v>
      </c>
      <c r="Z36" s="5">
        <v>0</v>
      </c>
      <c r="AA36" s="5">
        <v>0</v>
      </c>
      <c r="AB36" s="5">
        <v>0</v>
      </c>
      <c r="AC36" s="5">
        <v>0</v>
      </c>
      <c r="AD36" s="5">
        <v>1</v>
      </c>
      <c r="AE36" s="5">
        <v>1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</row>
    <row r="37" spans="1:37" x14ac:dyDescent="0.2">
      <c r="A37" s="2" t="s">
        <v>109</v>
      </c>
      <c r="B37" s="2" t="s">
        <v>9</v>
      </c>
      <c r="C37" s="2" t="s">
        <v>110</v>
      </c>
      <c r="D37" s="2" t="s">
        <v>111</v>
      </c>
      <c r="E37" s="5">
        <f t="shared" si="0"/>
        <v>11</v>
      </c>
      <c r="F37" s="5">
        <v>1</v>
      </c>
      <c r="G37" s="5">
        <v>1</v>
      </c>
      <c r="H37" s="5">
        <v>1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1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1</v>
      </c>
      <c r="Z37" s="5">
        <v>0</v>
      </c>
      <c r="AA37" s="5">
        <v>1</v>
      </c>
      <c r="AB37" s="5">
        <v>0</v>
      </c>
      <c r="AC37" s="5">
        <v>0</v>
      </c>
      <c r="AD37" s="5">
        <v>1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1</v>
      </c>
      <c r="AK37" s="5">
        <v>0</v>
      </c>
    </row>
    <row r="38" spans="1:37" x14ac:dyDescent="0.2">
      <c r="A38" s="2" t="s">
        <v>112</v>
      </c>
      <c r="B38" s="2" t="s">
        <v>9</v>
      </c>
      <c r="C38" s="2" t="s">
        <v>113</v>
      </c>
      <c r="D38" s="2" t="s">
        <v>114</v>
      </c>
      <c r="E38" s="5">
        <f t="shared" si="0"/>
        <v>11</v>
      </c>
      <c r="F38" s="5">
        <v>1</v>
      </c>
      <c r="G38" s="5">
        <v>1</v>
      </c>
      <c r="H38" s="5">
        <v>1</v>
      </c>
      <c r="I38" s="5">
        <v>0</v>
      </c>
      <c r="J38" s="5">
        <v>0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1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</row>
    <row r="39" spans="1:37" x14ac:dyDescent="0.2">
      <c r="A39" s="2" t="s">
        <v>115</v>
      </c>
      <c r="B39" s="2" t="s">
        <v>9</v>
      </c>
      <c r="C39" s="2" t="s">
        <v>116</v>
      </c>
      <c r="D39" s="2" t="s">
        <v>117</v>
      </c>
      <c r="E39" s="5">
        <f t="shared" si="0"/>
        <v>16</v>
      </c>
      <c r="F39" s="5">
        <v>1</v>
      </c>
      <c r="G39" s="5">
        <v>1</v>
      </c>
      <c r="H39" s="5">
        <v>1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5">
        <v>1</v>
      </c>
      <c r="R39" s="5">
        <v>1</v>
      </c>
      <c r="S39" s="5">
        <v>0</v>
      </c>
      <c r="T39" s="5">
        <v>0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0</v>
      </c>
      <c r="AA39" s="5">
        <v>1</v>
      </c>
      <c r="AB39" s="5">
        <v>0</v>
      </c>
      <c r="AC39" s="5">
        <v>0</v>
      </c>
      <c r="AD39" s="5">
        <v>1</v>
      </c>
      <c r="AE39" s="5">
        <v>1</v>
      </c>
      <c r="AF39" s="5">
        <v>0</v>
      </c>
      <c r="AG39" s="5">
        <v>0</v>
      </c>
      <c r="AH39" s="5">
        <v>1</v>
      </c>
      <c r="AI39" s="5">
        <v>0</v>
      </c>
      <c r="AJ39" s="5">
        <v>0</v>
      </c>
      <c r="AK39" s="5">
        <v>0</v>
      </c>
    </row>
    <row r="40" spans="1:37" x14ac:dyDescent="0.2">
      <c r="A40" s="2" t="s">
        <v>118</v>
      </c>
      <c r="B40" s="2" t="s">
        <v>5</v>
      </c>
      <c r="C40" s="2" t="s">
        <v>119</v>
      </c>
      <c r="D40" s="2" t="s">
        <v>120</v>
      </c>
      <c r="E40" s="5">
        <f t="shared" si="0"/>
        <v>18</v>
      </c>
      <c r="F40" s="5">
        <v>1</v>
      </c>
      <c r="G40" s="5">
        <v>1</v>
      </c>
      <c r="H40" s="5">
        <v>1</v>
      </c>
      <c r="I40" s="5">
        <v>0</v>
      </c>
      <c r="J40" s="5">
        <v>1</v>
      </c>
      <c r="K40" s="5">
        <v>1</v>
      </c>
      <c r="L40" s="5">
        <v>1</v>
      </c>
      <c r="M40" s="5">
        <v>0</v>
      </c>
      <c r="N40" s="5">
        <v>1</v>
      </c>
      <c r="O40" s="5">
        <v>0</v>
      </c>
      <c r="P40" s="5">
        <v>1</v>
      </c>
      <c r="Q40" s="5">
        <v>1</v>
      </c>
      <c r="R40" s="5">
        <v>1</v>
      </c>
      <c r="S40" s="5">
        <v>1</v>
      </c>
      <c r="T40" s="5">
        <v>0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0</v>
      </c>
      <c r="AA40" s="5">
        <v>1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</v>
      </c>
      <c r="AH40" s="5">
        <v>0</v>
      </c>
      <c r="AI40" s="5">
        <v>0</v>
      </c>
      <c r="AJ40" s="5">
        <v>0</v>
      </c>
      <c r="AK40" s="5">
        <v>0</v>
      </c>
    </row>
    <row r="41" spans="1:37" x14ac:dyDescent="0.2">
      <c r="A41" s="2" t="s">
        <v>121</v>
      </c>
      <c r="B41" s="2" t="s">
        <v>9</v>
      </c>
      <c r="C41" s="2" t="s">
        <v>122</v>
      </c>
      <c r="D41" s="2" t="s">
        <v>49</v>
      </c>
      <c r="E41" s="5">
        <f t="shared" si="0"/>
        <v>15</v>
      </c>
      <c r="F41" s="5">
        <v>1</v>
      </c>
      <c r="G41" s="5">
        <v>1</v>
      </c>
      <c r="H41" s="5">
        <v>0</v>
      </c>
      <c r="I41" s="5">
        <v>1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1</v>
      </c>
      <c r="S41" s="5">
        <v>1</v>
      </c>
      <c r="T41" s="5">
        <v>1</v>
      </c>
      <c r="U41" s="5">
        <v>1</v>
      </c>
      <c r="V41" s="5">
        <v>0</v>
      </c>
      <c r="W41" s="5">
        <v>0</v>
      </c>
      <c r="X41" s="5">
        <v>1</v>
      </c>
      <c r="Y41" s="5">
        <v>1</v>
      </c>
      <c r="Z41" s="5">
        <v>1</v>
      </c>
      <c r="AA41" s="5"/>
      <c r="AB41" s="5">
        <v>0</v>
      </c>
      <c r="AC41" s="5">
        <v>0</v>
      </c>
      <c r="AD41" s="5">
        <v>1</v>
      </c>
      <c r="AE41" s="5">
        <v>1</v>
      </c>
      <c r="AF41" s="5">
        <v>1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</row>
    <row r="42" spans="1:37" x14ac:dyDescent="0.2">
      <c r="A42" s="2" t="s">
        <v>123</v>
      </c>
      <c r="B42" s="2" t="s">
        <v>5</v>
      </c>
      <c r="C42" s="2" t="s">
        <v>124</v>
      </c>
      <c r="D42" s="2" t="s">
        <v>125</v>
      </c>
      <c r="E42" s="5">
        <f t="shared" si="0"/>
        <v>4</v>
      </c>
      <c r="F42" s="5">
        <v>1</v>
      </c>
      <c r="G42" s="5">
        <v>0</v>
      </c>
      <c r="H42" s="5">
        <v>1</v>
      </c>
      <c r="I42" s="5">
        <v>0</v>
      </c>
      <c r="J42" s="5">
        <v>0</v>
      </c>
      <c r="K42" s="5">
        <v>1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</row>
    <row r="43" spans="1:37" x14ac:dyDescent="0.2">
      <c r="A43" s="2" t="s">
        <v>126</v>
      </c>
      <c r="B43" s="2" t="s">
        <v>5</v>
      </c>
      <c r="C43" s="2" t="s">
        <v>127</v>
      </c>
      <c r="D43" s="2" t="s">
        <v>128</v>
      </c>
      <c r="E43" s="5">
        <f t="shared" si="0"/>
        <v>17</v>
      </c>
      <c r="F43" s="5">
        <v>1</v>
      </c>
      <c r="G43" s="5">
        <v>0</v>
      </c>
      <c r="H43" s="5">
        <v>1</v>
      </c>
      <c r="I43" s="5">
        <v>0</v>
      </c>
      <c r="J43" s="5">
        <v>1</v>
      </c>
      <c r="K43" s="5">
        <v>1</v>
      </c>
      <c r="L43" s="5">
        <v>1</v>
      </c>
      <c r="M43" s="5">
        <v>0</v>
      </c>
      <c r="N43" s="5">
        <v>1</v>
      </c>
      <c r="O43" s="5">
        <v>0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0</v>
      </c>
      <c r="W43" s="5">
        <v>1</v>
      </c>
      <c r="X43" s="5">
        <v>0</v>
      </c>
      <c r="Y43" s="5">
        <v>1</v>
      </c>
      <c r="Z43" s="5">
        <v>0</v>
      </c>
      <c r="AA43" s="5">
        <v>1</v>
      </c>
      <c r="AB43" s="5">
        <v>0</v>
      </c>
      <c r="AC43" s="5">
        <v>0</v>
      </c>
      <c r="AD43" s="5">
        <v>1</v>
      </c>
      <c r="AE43" s="5">
        <v>1</v>
      </c>
      <c r="AF43" s="5">
        <v>0</v>
      </c>
      <c r="AG43" s="5">
        <v>0</v>
      </c>
      <c r="AH43" s="5">
        <v>0</v>
      </c>
      <c r="AI43" s="5">
        <v>0</v>
      </c>
      <c r="AJ43" s="5">
        <v>1</v>
      </c>
      <c r="AK43" s="5">
        <v>0</v>
      </c>
    </row>
    <row r="44" spans="1:37" x14ac:dyDescent="0.2">
      <c r="A44" s="2" t="s">
        <v>129</v>
      </c>
      <c r="B44" s="2" t="s">
        <v>9</v>
      </c>
      <c r="C44" s="2" t="s">
        <v>130</v>
      </c>
      <c r="D44" s="2" t="s">
        <v>131</v>
      </c>
      <c r="E44" s="5">
        <f t="shared" si="0"/>
        <v>15</v>
      </c>
      <c r="F44" s="5">
        <v>0</v>
      </c>
      <c r="G44" s="5">
        <v>1</v>
      </c>
      <c r="H44" s="5">
        <v>1</v>
      </c>
      <c r="I44" s="5">
        <v>1</v>
      </c>
      <c r="J44" s="5">
        <v>1</v>
      </c>
      <c r="K44" s="5">
        <v>0</v>
      </c>
      <c r="L44" s="5">
        <v>1</v>
      </c>
      <c r="M44" s="5">
        <v>0</v>
      </c>
      <c r="N44" s="5">
        <v>0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0</v>
      </c>
      <c r="U44" s="5">
        <v>1</v>
      </c>
      <c r="V44" s="5">
        <v>1</v>
      </c>
      <c r="W44" s="5">
        <v>1</v>
      </c>
      <c r="X44" s="5">
        <v>1</v>
      </c>
      <c r="Y44" s="5">
        <v>0</v>
      </c>
      <c r="Z44" s="5">
        <v>0</v>
      </c>
      <c r="AA44" s="5">
        <v>1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</row>
    <row r="45" spans="1:37" x14ac:dyDescent="0.2">
      <c r="A45" s="2" t="s">
        <v>132</v>
      </c>
      <c r="B45" s="2" t="s">
        <v>9</v>
      </c>
      <c r="C45" s="2" t="s">
        <v>133</v>
      </c>
      <c r="D45" s="2" t="s">
        <v>134</v>
      </c>
      <c r="E45" s="5">
        <f t="shared" si="0"/>
        <v>14</v>
      </c>
      <c r="F45" s="5">
        <v>1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1</v>
      </c>
      <c r="T45" s="5">
        <v>1</v>
      </c>
      <c r="U45" s="5">
        <v>1</v>
      </c>
      <c r="V45" s="5">
        <v>0</v>
      </c>
      <c r="W45" s="5">
        <v>1</v>
      </c>
      <c r="X45" s="5">
        <v>1</v>
      </c>
      <c r="Y45" s="5">
        <v>1</v>
      </c>
      <c r="Z45" s="5">
        <v>1</v>
      </c>
      <c r="AA45" s="5">
        <v>0</v>
      </c>
      <c r="AB45" s="5">
        <v>0</v>
      </c>
      <c r="AC45" s="5">
        <v>0</v>
      </c>
      <c r="AD45" s="5">
        <v>1</v>
      </c>
      <c r="AE45" s="5">
        <v>1</v>
      </c>
      <c r="AF45" s="5">
        <v>1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</row>
    <row r="46" spans="1:37" x14ac:dyDescent="0.2">
      <c r="A46" s="2" t="s">
        <v>135</v>
      </c>
      <c r="B46" s="2" t="s">
        <v>9</v>
      </c>
      <c r="C46" s="2" t="s">
        <v>136</v>
      </c>
      <c r="D46" s="2" t="s">
        <v>137</v>
      </c>
      <c r="E46" s="5">
        <f t="shared" si="0"/>
        <v>16</v>
      </c>
      <c r="F46" s="5">
        <v>1</v>
      </c>
      <c r="G46" s="5">
        <v>1</v>
      </c>
      <c r="H46" s="5">
        <v>1</v>
      </c>
      <c r="I46" s="5">
        <v>0</v>
      </c>
      <c r="J46" s="5">
        <v>0</v>
      </c>
      <c r="K46" s="5">
        <v>1</v>
      </c>
      <c r="L46" s="5">
        <v>1</v>
      </c>
      <c r="M46" s="5">
        <v>0</v>
      </c>
      <c r="N46" s="5">
        <v>0</v>
      </c>
      <c r="O46" s="5">
        <v>0</v>
      </c>
      <c r="P46" s="5">
        <v>1</v>
      </c>
      <c r="Q46" s="5">
        <v>1</v>
      </c>
      <c r="R46" s="5">
        <v>1</v>
      </c>
      <c r="S46" s="5">
        <v>1</v>
      </c>
      <c r="T46" s="5">
        <v>0</v>
      </c>
      <c r="U46" s="5">
        <v>1</v>
      </c>
      <c r="V46" s="5">
        <v>0</v>
      </c>
      <c r="W46" s="5">
        <v>0</v>
      </c>
      <c r="X46" s="5">
        <v>1</v>
      </c>
      <c r="Y46" s="5">
        <v>1</v>
      </c>
      <c r="Z46" s="5">
        <v>0</v>
      </c>
      <c r="AA46" s="5">
        <v>1</v>
      </c>
      <c r="AB46" s="5">
        <v>0</v>
      </c>
      <c r="AC46" s="5">
        <v>0</v>
      </c>
      <c r="AD46" s="5">
        <v>1</v>
      </c>
      <c r="AE46" s="5">
        <v>1</v>
      </c>
      <c r="AF46" s="5">
        <v>0</v>
      </c>
      <c r="AG46" s="5">
        <v>0</v>
      </c>
      <c r="AH46" s="5">
        <v>1</v>
      </c>
      <c r="AI46" s="5">
        <v>0</v>
      </c>
      <c r="AJ46" s="5">
        <v>0</v>
      </c>
      <c r="AK46" s="5">
        <v>0</v>
      </c>
    </row>
    <row r="47" spans="1:37" x14ac:dyDescent="0.2">
      <c r="A47" s="2" t="s">
        <v>138</v>
      </c>
      <c r="B47" s="2" t="s">
        <v>9</v>
      </c>
      <c r="C47" s="2" t="s">
        <v>139</v>
      </c>
      <c r="D47" s="2" t="s">
        <v>140</v>
      </c>
      <c r="E47" s="5">
        <f t="shared" si="0"/>
        <v>18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0</v>
      </c>
      <c r="X47" s="5">
        <v>1</v>
      </c>
      <c r="Y47" s="5">
        <v>1</v>
      </c>
      <c r="Z47" s="5">
        <v>0</v>
      </c>
      <c r="AA47" s="5">
        <v>1</v>
      </c>
      <c r="AB47" s="5">
        <v>1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</row>
    <row r="48" spans="1:37" x14ac:dyDescent="0.2">
      <c r="A48" s="2" t="s">
        <v>141</v>
      </c>
      <c r="B48" s="2" t="s">
        <v>9</v>
      </c>
      <c r="C48" s="2" t="s">
        <v>142</v>
      </c>
      <c r="D48" s="2" t="s">
        <v>134</v>
      </c>
      <c r="E48" s="5">
        <f t="shared" si="0"/>
        <v>15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0</v>
      </c>
      <c r="W48" s="5">
        <v>1</v>
      </c>
      <c r="X48" s="5">
        <v>0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1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</row>
    <row r="49" spans="1:37" x14ac:dyDescent="0.2">
      <c r="A49" s="2" t="s">
        <v>143</v>
      </c>
      <c r="B49" s="2" t="s">
        <v>9</v>
      </c>
      <c r="C49" s="2" t="s">
        <v>144</v>
      </c>
      <c r="D49" s="2" t="s">
        <v>145</v>
      </c>
      <c r="E49" s="5">
        <f t="shared" si="0"/>
        <v>9</v>
      </c>
      <c r="F49" s="5">
        <v>1</v>
      </c>
      <c r="G49" s="5">
        <v>1</v>
      </c>
      <c r="H49" s="5">
        <v>0</v>
      </c>
      <c r="I49" s="5">
        <v>0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1</v>
      </c>
      <c r="Z49" s="5">
        <v>0</v>
      </c>
      <c r="AA49" s="5">
        <v>0</v>
      </c>
      <c r="AB49" s="5">
        <v>0</v>
      </c>
      <c r="AC49" s="5">
        <v>0</v>
      </c>
      <c r="AD49" s="5">
        <v>1</v>
      </c>
      <c r="AE49" s="5">
        <v>1</v>
      </c>
      <c r="AF49" s="5">
        <v>0</v>
      </c>
      <c r="AG49" s="5">
        <v>1</v>
      </c>
      <c r="AH49" s="5">
        <v>0</v>
      </c>
      <c r="AI49" s="5">
        <v>0</v>
      </c>
      <c r="AJ49" s="5">
        <v>0</v>
      </c>
      <c r="AK49" s="5">
        <v>0</v>
      </c>
    </row>
    <row r="50" spans="1:37" x14ac:dyDescent="0.2">
      <c r="A50" s="2" t="s">
        <v>146</v>
      </c>
      <c r="B50" s="2" t="s">
        <v>9</v>
      </c>
      <c r="C50" s="2" t="s">
        <v>147</v>
      </c>
      <c r="D50" s="2" t="s">
        <v>148</v>
      </c>
      <c r="E50" s="5">
        <f t="shared" si="0"/>
        <v>2</v>
      </c>
      <c r="F50" s="5">
        <v>0</v>
      </c>
      <c r="G50" s="5">
        <v>1</v>
      </c>
      <c r="H50" s="5">
        <v>0</v>
      </c>
      <c r="I50" s="5">
        <v>0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</row>
    <row r="51" spans="1:37" x14ac:dyDescent="0.2">
      <c r="A51" s="2" t="s">
        <v>149</v>
      </c>
      <c r="B51" s="2" t="s">
        <v>5</v>
      </c>
      <c r="C51" s="2" t="s">
        <v>150</v>
      </c>
      <c r="D51" s="2" t="s">
        <v>151</v>
      </c>
      <c r="E51" s="5">
        <f t="shared" si="0"/>
        <v>16</v>
      </c>
      <c r="F51" s="5">
        <v>1</v>
      </c>
      <c r="G51" s="5">
        <v>1</v>
      </c>
      <c r="H51" s="5">
        <v>1</v>
      </c>
      <c r="I51" s="5">
        <v>0</v>
      </c>
      <c r="J51" s="5">
        <v>1</v>
      </c>
      <c r="K51" s="5">
        <v>1</v>
      </c>
      <c r="L51" s="5">
        <v>1</v>
      </c>
      <c r="M51" s="5">
        <v>0</v>
      </c>
      <c r="N51" s="5">
        <v>1</v>
      </c>
      <c r="O51" s="5">
        <v>0</v>
      </c>
      <c r="P51" s="5">
        <v>0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0</v>
      </c>
      <c r="Y51" s="5">
        <v>1</v>
      </c>
      <c r="Z51" s="5">
        <v>0</v>
      </c>
      <c r="AA51" s="5">
        <v>1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</row>
    <row r="53" spans="1:37" x14ac:dyDescent="0.2">
      <c r="D53" s="2" t="s">
        <v>185</v>
      </c>
      <c r="E53" s="9">
        <f>MAX(E2:E51)</f>
        <v>27</v>
      </c>
    </row>
    <row r="54" spans="1:37" x14ac:dyDescent="0.2">
      <c r="D54" s="2" t="s">
        <v>186</v>
      </c>
      <c r="E54" s="9">
        <f>MIN(E2:E51)</f>
        <v>2</v>
      </c>
    </row>
    <row r="55" spans="1:37" x14ac:dyDescent="0.2">
      <c r="D55" s="2" t="s">
        <v>187</v>
      </c>
      <c r="E55" s="9">
        <f>AVERAGE(E2:E51)</f>
        <v>13.645833333333334</v>
      </c>
    </row>
    <row r="56" spans="1:37" x14ac:dyDescent="0.2">
      <c r="D56" s="2" t="s">
        <v>188</v>
      </c>
      <c r="E56" s="9">
        <f>MEDIAN(E2:E51)</f>
        <v>15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Di Bonifacio</cp:lastModifiedBy>
  <dcterms:created xsi:type="dcterms:W3CDTF">2026-02-25T08:13:30Z</dcterms:created>
  <dcterms:modified xsi:type="dcterms:W3CDTF">2026-02-25T15:39:17Z</dcterms:modified>
</cp:coreProperties>
</file>