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dibonifacio/Library/CloudStorage/Dropbox/doctorate/others/corrections_rene/solutions/"/>
    </mc:Choice>
  </mc:AlternateContent>
  <xr:revisionPtr revIDLastSave="0" documentId="13_ncr:1_{24CE539C-13BA-3E40-BF67-1F1F84900B4E}" xr6:coauthVersionLast="47" xr6:coauthVersionMax="47" xr10:uidLastSave="{00000000-0000-0000-0000-000000000000}"/>
  <bookViews>
    <workbookView xWindow="4420" yWindow="1320" windowWidth="25820" windowHeight="16880" xr2:uid="{9A91E725-1ADA-1D4B-B663-4DC224D1E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0" i="1" s="1"/>
  <c r="E3" i="1"/>
  <c r="E2" i="1"/>
  <c r="E33" i="1" l="1"/>
  <c r="E31" i="1"/>
  <c r="E32" i="1"/>
</calcChain>
</file>

<file path=xl/sharedStrings.xml><?xml version="1.0" encoding="utf-8"?>
<sst xmlns="http://schemas.openxmlformats.org/spreadsheetml/2006/main" count="103" uniqueCount="103">
  <si>
    <t>Nom</t>
  </si>
  <si>
    <t>Prenom</t>
  </si>
  <si>
    <t>N°E</t>
  </si>
  <si>
    <t>Final</t>
  </si>
  <si>
    <t>Point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</si>
  <si>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</si>
  <si>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</si>
  <si>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</si>
  <si>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</si>
  <si>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</si>
  <si>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</si>
  <si>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</si>
  <si>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</si>
  <si>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</si>
  <si>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</si>
  <si>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</si>
  <si>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</si>
  <si>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</si>
  <si>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</si>
  <si>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</si>
  <si>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</si>
  <si>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</si>
  <si>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</si>
  <si>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</si>
  <si>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</si>
  <si>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</si>
  <si>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</si>
  <si>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</si>
  <si>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</si>
  <si>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</si>
  <si>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</si>
  <si>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</si>
  <si>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</si>
  <si>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</si>
  <si>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</si>
  <si>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</si>
  <si>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</si>
  <si>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</si>
  <si>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</si>
  <si>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</si>
  <si>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</si>
  <si>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</si>
  <si>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</si>
  <si>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</si>
  <si>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</si>
  <si>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Ali saleh</t>
  </si>
  <si>
    <t>Ammar</t>
  </si>
  <si>
    <t>Barbarit</t>
  </si>
  <si>
    <t>Guillaume</t>
  </si>
  <si>
    <t>Belaili</t>
  </si>
  <si>
    <t>Rayan</t>
  </si>
  <si>
    <t>Bulard</t>
  </si>
  <si>
    <t>Samuel</t>
  </si>
  <si>
    <t>Chadeuf</t>
  </si>
  <si>
    <t>Thomas</t>
  </si>
  <si>
    <t>Dahmani</t>
  </si>
  <si>
    <t>Malik</t>
  </si>
  <si>
    <t>Delarbre</t>
  </si>
  <si>
    <t>Paul</t>
  </si>
  <si>
    <t>Dian</t>
  </si>
  <si>
    <t>Kaouthar</t>
  </si>
  <si>
    <t>Dumont</t>
  </si>
  <si>
    <t>Celeste</t>
  </si>
  <si>
    <t>Genovesi nanfack temgoua</t>
  </si>
  <si>
    <t>Allan</t>
  </si>
  <si>
    <t>Honore</t>
  </si>
  <si>
    <t>Calista</t>
  </si>
  <si>
    <t>Kadri</t>
  </si>
  <si>
    <t>Soulaimane</t>
  </si>
  <si>
    <t>Kouadio</t>
  </si>
  <si>
    <t>Kevin</t>
  </si>
  <si>
    <t>Langevin</t>
  </si>
  <si>
    <t>Maelann</t>
  </si>
  <si>
    <t>Le maitre silaire</t>
  </si>
  <si>
    <t>Clement</t>
  </si>
  <si>
    <t>Legendre</t>
  </si>
  <si>
    <t>Maxim</t>
  </si>
  <si>
    <t>Lobligeois-triki</t>
  </si>
  <si>
    <t>Remy</t>
  </si>
  <si>
    <t>Loire</t>
  </si>
  <si>
    <t>Arthus</t>
  </si>
  <si>
    <t>Lozachmeur</t>
  </si>
  <si>
    <t>Louane</t>
  </si>
  <si>
    <t>Pacevicius</t>
  </si>
  <si>
    <t>Joel</t>
  </si>
  <si>
    <t>Perrier</t>
  </si>
  <si>
    <t>Hugo</t>
  </si>
  <si>
    <t>Rajaonarivelo</t>
  </si>
  <si>
    <t>Dina</t>
  </si>
  <si>
    <t>Roger</t>
  </si>
  <si>
    <t>Matthieu</t>
  </si>
  <si>
    <t>Ryon</t>
  </si>
  <si>
    <t>Eloi</t>
  </si>
  <si>
    <t>Tredan</t>
  </si>
  <si>
    <t>Etienne</t>
  </si>
  <si>
    <t>Wu</t>
  </si>
  <si>
    <t>Chaoyu</t>
  </si>
  <si>
    <t>Zhao</t>
  </si>
  <si>
    <t>Yutong</t>
  </si>
  <si>
    <t>median</t>
  </si>
  <si>
    <t>mean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</si>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</sst>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6B76-31F8-B047-A3AC-70CAA8370AB9}">
  <dimension ref="A1:AS33"/>
  <sheetViews>
    <sheetView tabSelected="1" workbookViewId="0">
      <selection activeCell="AS4" sqref="AS4"/>
    </sheetView>
  </sheetViews>
  <sheetFormatPr baseColWidth="10" defaultRowHeight="16" x14ac:dyDescent="0.2"/>
  <cols>
    <col min="4" max="4" width="10.83203125" customWidth="1"/>
    <col min="5" max="5" width="6.33203125" customWidth="1"/>
    <col min="6" max="45" width="4.1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0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0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5" x14ac:dyDescent="0.2">
      <c r="A2" s="1" t="s">
        <v>45</v>
      </c>
      <c r="B2" s="4" t="s">
        <v>46</v>
      </c>
      <c r="C2" s="4">
        <v>22502703</v>
      </c>
      <c r="D2" s="4"/>
      <c r="E2" s="9">
        <f>SUM(F2:AS2)</f>
        <v>20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0</v>
      </c>
      <c r="L2" s="3">
        <v>0</v>
      </c>
      <c r="M2" s="3">
        <v>0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0</v>
      </c>
      <c r="AA2" s="10">
        <v>0</v>
      </c>
      <c r="AB2" s="3">
        <v>0</v>
      </c>
      <c r="AC2" s="3">
        <v>0</v>
      </c>
      <c r="AD2" s="3">
        <v>1</v>
      </c>
      <c r="AE2" s="3">
        <v>1</v>
      </c>
      <c r="AF2" s="3">
        <v>1</v>
      </c>
      <c r="AG2" s="10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5">
        <v>0</v>
      </c>
    </row>
    <row r="3" spans="1:45" x14ac:dyDescent="0.2">
      <c r="A3" s="1" t="s">
        <v>47</v>
      </c>
      <c r="B3" s="4" t="s">
        <v>48</v>
      </c>
      <c r="C3" s="4">
        <v>22501185</v>
      </c>
      <c r="D3" s="4"/>
      <c r="E3" s="9">
        <f t="shared" ref="E3:E28" si="0">SUM(F3:AS3)</f>
        <v>11</v>
      </c>
      <c r="F3" s="3">
        <v>1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1</v>
      </c>
      <c r="P3" s="3">
        <v>1</v>
      </c>
      <c r="Q3" s="3">
        <v>0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1</v>
      </c>
      <c r="X3" s="3">
        <v>0</v>
      </c>
      <c r="Y3" s="3">
        <v>0</v>
      </c>
      <c r="Z3" s="3">
        <v>0</v>
      </c>
      <c r="AA3" s="10">
        <v>0</v>
      </c>
      <c r="AB3" s="3">
        <v>1</v>
      </c>
      <c r="AC3" s="3">
        <v>0</v>
      </c>
      <c r="AD3" s="3">
        <v>1</v>
      </c>
      <c r="AE3" s="3">
        <v>1</v>
      </c>
      <c r="AF3" s="3">
        <v>0</v>
      </c>
      <c r="AG3" s="3">
        <v>0</v>
      </c>
      <c r="AH3" s="3">
        <v>0</v>
      </c>
      <c r="AI3" s="3">
        <v>1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</row>
    <row r="4" spans="1:45" x14ac:dyDescent="0.2">
      <c r="A4" s="1" t="s">
        <v>49</v>
      </c>
      <c r="B4" s="4" t="s">
        <v>50</v>
      </c>
      <c r="C4" s="4">
        <v>22505614</v>
      </c>
      <c r="D4" s="4"/>
      <c r="E4" s="9">
        <f t="shared" si="0"/>
        <v>10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1</v>
      </c>
      <c r="P4" s="3">
        <v>1</v>
      </c>
      <c r="Q4" s="3">
        <v>0</v>
      </c>
      <c r="R4" s="3">
        <v>0</v>
      </c>
      <c r="S4" s="3">
        <v>1</v>
      </c>
      <c r="T4" s="3">
        <v>0</v>
      </c>
      <c r="U4" s="3">
        <v>1</v>
      </c>
      <c r="V4" s="3">
        <v>1</v>
      </c>
      <c r="W4" s="3">
        <v>0</v>
      </c>
      <c r="X4" s="3">
        <v>0</v>
      </c>
      <c r="Y4" s="3">
        <v>0</v>
      </c>
      <c r="Z4" s="3">
        <v>0</v>
      </c>
      <c r="AA4" s="10">
        <v>0</v>
      </c>
      <c r="AB4" s="3">
        <v>0</v>
      </c>
      <c r="AC4" s="3">
        <v>0</v>
      </c>
      <c r="AD4" s="3">
        <v>0</v>
      </c>
      <c r="AE4" s="3">
        <v>0</v>
      </c>
      <c r="AF4" s="3">
        <v>1</v>
      </c>
      <c r="AG4" s="3">
        <v>0</v>
      </c>
      <c r="AH4" s="3">
        <v>0</v>
      </c>
      <c r="AI4" s="3">
        <v>0</v>
      </c>
      <c r="AJ4" s="3">
        <v>0</v>
      </c>
      <c r="AK4" s="3">
        <v>1</v>
      </c>
      <c r="AL4" s="3">
        <v>0</v>
      </c>
      <c r="AM4" s="3">
        <v>0</v>
      </c>
      <c r="AN4" s="3">
        <v>0</v>
      </c>
      <c r="AO4" s="3">
        <v>1</v>
      </c>
      <c r="AP4" s="3">
        <v>0</v>
      </c>
      <c r="AQ4" s="3">
        <v>0</v>
      </c>
      <c r="AR4" s="3">
        <v>0</v>
      </c>
      <c r="AS4" s="3">
        <v>0</v>
      </c>
    </row>
    <row r="5" spans="1:45" x14ac:dyDescent="0.2">
      <c r="A5" s="1" t="s">
        <v>51</v>
      </c>
      <c r="B5" s="4" t="s">
        <v>52</v>
      </c>
      <c r="C5" s="4">
        <v>22503279</v>
      </c>
      <c r="D5" s="4"/>
      <c r="E5" s="9">
        <f t="shared" si="0"/>
        <v>23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0</v>
      </c>
      <c r="M5" s="3">
        <v>0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0</v>
      </c>
      <c r="T5" s="3">
        <v>0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10">
        <v>0</v>
      </c>
      <c r="AB5" s="3">
        <v>0</v>
      </c>
      <c r="AC5" s="3">
        <v>0</v>
      </c>
      <c r="AD5" s="3">
        <v>1</v>
      </c>
      <c r="AE5" s="3">
        <v>1</v>
      </c>
      <c r="AF5" s="3">
        <v>1</v>
      </c>
      <c r="AG5" s="3">
        <v>0</v>
      </c>
      <c r="AH5" s="3">
        <v>0</v>
      </c>
      <c r="AI5" s="3">
        <v>1</v>
      </c>
      <c r="AJ5" s="3">
        <v>0</v>
      </c>
      <c r="AK5" s="3">
        <v>1</v>
      </c>
      <c r="AL5" s="3">
        <v>1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</row>
    <row r="6" spans="1:45" x14ac:dyDescent="0.2">
      <c r="A6" s="7" t="s">
        <v>53</v>
      </c>
      <c r="B6" s="8" t="s">
        <v>54</v>
      </c>
      <c r="C6" s="8">
        <v>22502784</v>
      </c>
      <c r="D6" s="8"/>
      <c r="E6" s="9">
        <f t="shared" si="0"/>
        <v>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x14ac:dyDescent="0.2">
      <c r="A7" s="1" t="s">
        <v>55</v>
      </c>
      <c r="B7" s="4" t="s">
        <v>56</v>
      </c>
      <c r="C7" s="4">
        <v>22504869</v>
      </c>
      <c r="D7" s="4"/>
      <c r="E7" s="9">
        <f t="shared" si="0"/>
        <v>13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10">
        <v>0</v>
      </c>
      <c r="AB7" s="3">
        <v>0</v>
      </c>
      <c r="AC7" s="3">
        <v>0</v>
      </c>
      <c r="AD7" s="3">
        <v>1</v>
      </c>
      <c r="AE7" s="10">
        <v>0</v>
      </c>
      <c r="AF7" s="3">
        <v>0</v>
      </c>
      <c r="AG7" s="3">
        <v>0</v>
      </c>
      <c r="AH7" s="3">
        <v>0</v>
      </c>
      <c r="AI7" s="3">
        <v>1</v>
      </c>
      <c r="AJ7" s="3">
        <v>1</v>
      </c>
      <c r="AK7" s="3">
        <v>1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</row>
    <row r="8" spans="1:45" x14ac:dyDescent="0.2">
      <c r="A8" s="1" t="s">
        <v>57</v>
      </c>
      <c r="B8" s="4" t="s">
        <v>58</v>
      </c>
      <c r="C8" s="4">
        <v>22501110</v>
      </c>
      <c r="D8" s="4"/>
      <c r="E8" s="9">
        <f t="shared" si="0"/>
        <v>17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0</v>
      </c>
      <c r="M8" s="3">
        <v>0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0</v>
      </c>
      <c r="U8" s="3">
        <v>1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10">
        <v>0</v>
      </c>
      <c r="AB8" s="3">
        <v>0</v>
      </c>
      <c r="AC8" s="3">
        <v>0</v>
      </c>
      <c r="AD8" s="3">
        <v>0</v>
      </c>
      <c r="AE8" s="3">
        <v>0</v>
      </c>
      <c r="AF8" s="3">
        <v>1</v>
      </c>
      <c r="AG8" s="3">
        <v>0</v>
      </c>
      <c r="AH8" s="3">
        <v>1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1</v>
      </c>
      <c r="AS8" s="3">
        <v>0</v>
      </c>
    </row>
    <row r="9" spans="1:45" x14ac:dyDescent="0.2">
      <c r="A9" s="1" t="s">
        <v>59</v>
      </c>
      <c r="B9" s="4" t="s">
        <v>60</v>
      </c>
      <c r="C9" s="4">
        <v>22503490</v>
      </c>
      <c r="D9" s="4"/>
      <c r="E9" s="9">
        <f t="shared" si="0"/>
        <v>22</v>
      </c>
      <c r="F9" s="3">
        <v>1</v>
      </c>
      <c r="G9" s="3">
        <v>1</v>
      </c>
      <c r="H9" s="3">
        <v>0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1</v>
      </c>
      <c r="T9" s="3">
        <v>0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10">
        <v>0</v>
      </c>
      <c r="AB9" s="3">
        <v>0</v>
      </c>
      <c r="AC9" s="3">
        <v>0</v>
      </c>
      <c r="AD9" s="3">
        <v>1</v>
      </c>
      <c r="AE9" s="10">
        <v>1</v>
      </c>
      <c r="AF9" s="3">
        <v>1</v>
      </c>
      <c r="AG9" s="3">
        <v>1</v>
      </c>
      <c r="AH9" s="3">
        <v>1</v>
      </c>
      <c r="AI9" s="3">
        <v>0</v>
      </c>
      <c r="AJ9" s="3">
        <v>0</v>
      </c>
      <c r="AK9" s="3">
        <v>1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1</v>
      </c>
      <c r="AS9" s="3">
        <v>0</v>
      </c>
    </row>
    <row r="10" spans="1:45" x14ac:dyDescent="0.2">
      <c r="A10" s="1" t="s">
        <v>61</v>
      </c>
      <c r="B10" s="4" t="s">
        <v>62</v>
      </c>
      <c r="C10" s="4">
        <v>22505836</v>
      </c>
      <c r="D10" s="4"/>
      <c r="E10" s="9">
        <f t="shared" si="0"/>
        <v>23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0</v>
      </c>
      <c r="AA10" s="10">
        <v>0</v>
      </c>
      <c r="AB10" s="3">
        <v>0</v>
      </c>
      <c r="AC10" s="3">
        <v>0</v>
      </c>
      <c r="AD10" s="3">
        <v>1</v>
      </c>
      <c r="AE10" s="3">
        <v>1</v>
      </c>
      <c r="AF10" s="3">
        <v>0</v>
      </c>
      <c r="AG10" s="3">
        <v>0</v>
      </c>
      <c r="AH10" s="3">
        <v>0</v>
      </c>
      <c r="AI10" s="3">
        <v>0</v>
      </c>
      <c r="AJ10" s="3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</row>
    <row r="11" spans="1:45" x14ac:dyDescent="0.2">
      <c r="A11" s="1" t="s">
        <v>63</v>
      </c>
      <c r="B11" s="4" t="s">
        <v>64</v>
      </c>
      <c r="C11" s="4">
        <v>22505628</v>
      </c>
      <c r="D11" s="4"/>
      <c r="E11" s="9">
        <f t="shared" si="0"/>
        <v>20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1</v>
      </c>
      <c r="O11" s="3">
        <v>1</v>
      </c>
      <c r="P11" s="3">
        <v>0</v>
      </c>
      <c r="Q11" s="3">
        <v>0</v>
      </c>
      <c r="R11" s="3">
        <v>1</v>
      </c>
      <c r="S11" s="3">
        <v>1</v>
      </c>
      <c r="T11" s="3">
        <v>0</v>
      </c>
      <c r="U11" s="3">
        <v>1</v>
      </c>
      <c r="V11" s="3">
        <v>1</v>
      </c>
      <c r="W11" s="3">
        <v>1</v>
      </c>
      <c r="X11" s="3">
        <v>1</v>
      </c>
      <c r="Y11" s="3">
        <v>0</v>
      </c>
      <c r="Z11" s="3">
        <v>0</v>
      </c>
      <c r="AA11" s="10">
        <v>0</v>
      </c>
      <c r="AB11" s="3">
        <v>1</v>
      </c>
      <c r="AC11" s="3">
        <v>0</v>
      </c>
      <c r="AD11" s="3">
        <v>1</v>
      </c>
      <c r="AE11" s="3">
        <v>1</v>
      </c>
      <c r="AF11" s="3">
        <v>1</v>
      </c>
      <c r="AG11" s="3">
        <v>0</v>
      </c>
      <c r="AH11" s="3">
        <v>0</v>
      </c>
      <c r="AI11" s="3">
        <v>0</v>
      </c>
      <c r="AJ11" s="3">
        <v>0</v>
      </c>
      <c r="AK11" s="3">
        <v>1</v>
      </c>
      <c r="AL11" s="3">
        <v>1</v>
      </c>
      <c r="AM11" s="3">
        <v>1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</row>
    <row r="12" spans="1:45" x14ac:dyDescent="0.2">
      <c r="A12" s="1" t="s">
        <v>65</v>
      </c>
      <c r="B12" s="4" t="s">
        <v>66</v>
      </c>
      <c r="C12" s="4">
        <v>22500965</v>
      </c>
      <c r="D12" s="4"/>
      <c r="E12" s="9">
        <f t="shared" si="0"/>
        <v>17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0</v>
      </c>
      <c r="Y12" s="3">
        <v>0</v>
      </c>
      <c r="Z12" s="3">
        <v>0</v>
      </c>
      <c r="AA12" s="10">
        <v>0</v>
      </c>
      <c r="AB12" s="3">
        <v>0</v>
      </c>
      <c r="AC12" s="3">
        <v>0</v>
      </c>
      <c r="AD12" s="3">
        <v>1</v>
      </c>
      <c r="AE12" s="3">
        <v>1</v>
      </c>
      <c r="AF12" s="3">
        <v>1</v>
      </c>
      <c r="AG12" s="3">
        <v>0</v>
      </c>
      <c r="AH12" s="3">
        <v>0</v>
      </c>
      <c r="AI12" s="3">
        <v>1</v>
      </c>
      <c r="AJ12" s="3">
        <v>1</v>
      </c>
      <c r="AK12" s="3">
        <v>1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</row>
    <row r="13" spans="1:45" x14ac:dyDescent="0.2">
      <c r="A13" s="7" t="s">
        <v>67</v>
      </c>
      <c r="B13" s="8" t="s">
        <v>68</v>
      </c>
      <c r="C13" s="8">
        <v>22504001</v>
      </c>
      <c r="D13" s="8"/>
      <c r="E13" s="9">
        <f t="shared" si="0"/>
        <v>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x14ac:dyDescent="0.2">
      <c r="A14" s="1" t="s">
        <v>69</v>
      </c>
      <c r="B14" s="4" t="s">
        <v>70</v>
      </c>
      <c r="C14" s="4">
        <v>22004064</v>
      </c>
      <c r="D14" s="4"/>
      <c r="E14" s="9">
        <f t="shared" si="0"/>
        <v>7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10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</row>
    <row r="15" spans="1:45" x14ac:dyDescent="0.2">
      <c r="A15" s="1" t="s">
        <v>71</v>
      </c>
      <c r="B15" s="4" t="s">
        <v>72</v>
      </c>
      <c r="C15" s="4">
        <v>22500988</v>
      </c>
      <c r="D15" s="4"/>
      <c r="E15" s="9">
        <f t="shared" si="0"/>
        <v>28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0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0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10">
        <v>0</v>
      </c>
      <c r="AB15" s="3">
        <v>1</v>
      </c>
      <c r="AC15" s="3">
        <v>0</v>
      </c>
      <c r="AD15" s="3">
        <v>1</v>
      </c>
      <c r="AE15" s="3">
        <v>1</v>
      </c>
      <c r="AF15" s="3">
        <v>1</v>
      </c>
      <c r="AG15" s="3">
        <v>0</v>
      </c>
      <c r="AH15" s="3">
        <v>0</v>
      </c>
      <c r="AI15" s="3">
        <v>1</v>
      </c>
      <c r="AJ15" s="3">
        <v>1</v>
      </c>
      <c r="AK15" s="3">
        <v>1</v>
      </c>
      <c r="AL15" s="3">
        <v>1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1</v>
      </c>
      <c r="AS15" s="3">
        <v>0</v>
      </c>
    </row>
    <row r="16" spans="1:45" ht="17" customHeight="1" x14ac:dyDescent="0.2">
      <c r="A16" s="1" t="s">
        <v>73</v>
      </c>
      <c r="B16" s="4" t="s">
        <v>74</v>
      </c>
      <c r="C16" s="4">
        <v>22302668</v>
      </c>
      <c r="D16" s="4"/>
      <c r="E16" s="9">
        <f t="shared" si="0"/>
        <v>13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0</v>
      </c>
      <c r="Z16" s="3">
        <v>0</v>
      </c>
      <c r="AA16" s="10">
        <v>0</v>
      </c>
      <c r="AB16" s="3">
        <v>0</v>
      </c>
      <c r="AC16" s="3">
        <v>0</v>
      </c>
      <c r="AD16" s="3">
        <v>1</v>
      </c>
      <c r="AE16" s="3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</row>
    <row r="17" spans="1:45" x14ac:dyDescent="0.2">
      <c r="A17" s="1" t="s">
        <v>75</v>
      </c>
      <c r="B17" s="4" t="s">
        <v>76</v>
      </c>
      <c r="C17" s="4">
        <v>22504777</v>
      </c>
      <c r="D17" s="4"/>
      <c r="E17" s="9">
        <f>SUM(F17:AS17)</f>
        <v>30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0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10">
        <v>0</v>
      </c>
      <c r="AB17" s="3">
        <v>1</v>
      </c>
      <c r="AC17" s="10">
        <v>0</v>
      </c>
      <c r="AD17" s="3">
        <v>1</v>
      </c>
      <c r="AE17" s="3">
        <v>1</v>
      </c>
      <c r="AF17" s="3">
        <v>1</v>
      </c>
      <c r="AG17" s="10">
        <v>0</v>
      </c>
      <c r="AH17" s="3">
        <v>1</v>
      </c>
      <c r="AI17" s="3">
        <v>1</v>
      </c>
      <c r="AJ17" s="3">
        <v>1</v>
      </c>
      <c r="AK17" s="3">
        <v>1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1</v>
      </c>
      <c r="AS17" s="3">
        <v>1</v>
      </c>
    </row>
    <row r="18" spans="1:45" x14ac:dyDescent="0.2">
      <c r="A18" s="1" t="s">
        <v>77</v>
      </c>
      <c r="B18" s="4" t="s">
        <v>78</v>
      </c>
      <c r="C18" s="4">
        <v>21905920</v>
      </c>
      <c r="D18" s="4"/>
      <c r="E18" s="9">
        <f t="shared" si="0"/>
        <v>18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0</v>
      </c>
      <c r="U18" s="3">
        <v>0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10">
        <v>0</v>
      </c>
      <c r="AB18" s="3">
        <v>0</v>
      </c>
      <c r="AC18" s="3">
        <v>0</v>
      </c>
      <c r="AD18" s="3">
        <v>1</v>
      </c>
      <c r="AE18" s="3">
        <v>1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1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</row>
    <row r="19" spans="1:45" x14ac:dyDescent="0.2">
      <c r="A19" s="1" t="s">
        <v>79</v>
      </c>
      <c r="B19" s="4" t="s">
        <v>80</v>
      </c>
      <c r="C19" s="4">
        <v>22502593</v>
      </c>
      <c r="D19" s="4"/>
      <c r="E19" s="9">
        <f t="shared" si="0"/>
        <v>16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0</v>
      </c>
      <c r="M19" s="3">
        <v>0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0</v>
      </c>
      <c r="T19" s="3">
        <v>0</v>
      </c>
      <c r="U19" s="3">
        <v>0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10">
        <v>0</v>
      </c>
      <c r="AB19" s="3">
        <v>0</v>
      </c>
      <c r="AC19" s="3">
        <v>0</v>
      </c>
      <c r="AD19" s="3">
        <v>1</v>
      </c>
      <c r="AE19" s="3">
        <v>1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1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</row>
    <row r="20" spans="1:45" x14ac:dyDescent="0.2">
      <c r="A20" s="1" t="s">
        <v>81</v>
      </c>
      <c r="B20" s="4" t="s">
        <v>82</v>
      </c>
      <c r="C20" s="4">
        <v>22001255</v>
      </c>
      <c r="D20" s="4"/>
      <c r="E20" s="9">
        <f t="shared" si="0"/>
        <v>20</v>
      </c>
      <c r="F20" s="3">
        <v>1</v>
      </c>
      <c r="G20" s="3">
        <v>1</v>
      </c>
      <c r="H20" s="3">
        <v>1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0</v>
      </c>
      <c r="V20" s="3">
        <v>0</v>
      </c>
      <c r="W20" s="3">
        <v>1</v>
      </c>
      <c r="X20" s="3">
        <v>1</v>
      </c>
      <c r="Y20" s="3">
        <v>1</v>
      </c>
      <c r="Z20" s="3">
        <v>1</v>
      </c>
      <c r="AA20" s="10">
        <v>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1</v>
      </c>
      <c r="AP20" s="3">
        <v>1</v>
      </c>
      <c r="AQ20" s="3">
        <v>0</v>
      </c>
      <c r="AR20" s="3">
        <v>1</v>
      </c>
      <c r="AS20" s="3">
        <v>0</v>
      </c>
    </row>
    <row r="21" spans="1:45" x14ac:dyDescent="0.2">
      <c r="A21" s="1" t="s">
        <v>83</v>
      </c>
      <c r="B21" s="4" t="s">
        <v>84</v>
      </c>
      <c r="C21" s="4">
        <v>22300541</v>
      </c>
      <c r="D21" s="4"/>
      <c r="E21" s="9">
        <f t="shared" si="0"/>
        <v>18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0</v>
      </c>
      <c r="M21" s="3">
        <v>0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0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10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J21" s="3">
        <v>0</v>
      </c>
      <c r="AK21" s="3">
        <v>1</v>
      </c>
      <c r="AL21" s="3">
        <v>1</v>
      </c>
      <c r="AM21" s="3">
        <v>0</v>
      </c>
      <c r="AN21" s="3">
        <v>1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</row>
    <row r="22" spans="1:45" x14ac:dyDescent="0.2">
      <c r="A22" s="1" t="s">
        <v>85</v>
      </c>
      <c r="B22" s="4" t="s">
        <v>86</v>
      </c>
      <c r="C22" s="4">
        <v>22000575</v>
      </c>
      <c r="D22" s="4"/>
      <c r="E22" s="9">
        <f t="shared" si="0"/>
        <v>20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0</v>
      </c>
      <c r="M22" s="3">
        <v>0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0</v>
      </c>
      <c r="V22" s="3">
        <v>1</v>
      </c>
      <c r="W22" s="3">
        <v>1</v>
      </c>
      <c r="X22" s="3">
        <v>0</v>
      </c>
      <c r="Y22" s="3">
        <v>0</v>
      </c>
      <c r="Z22" s="3">
        <v>0</v>
      </c>
      <c r="AA22" s="10">
        <v>0</v>
      </c>
      <c r="AB22" s="3">
        <v>0</v>
      </c>
      <c r="AC22" s="3">
        <v>0</v>
      </c>
      <c r="AD22" s="3">
        <v>1</v>
      </c>
      <c r="AE22" s="3">
        <v>1</v>
      </c>
      <c r="AF22" s="3">
        <v>1</v>
      </c>
      <c r="AG22" s="3">
        <v>0</v>
      </c>
      <c r="AH22" s="3">
        <v>0</v>
      </c>
      <c r="AI22" s="3">
        <v>0</v>
      </c>
      <c r="AJ22" s="3">
        <v>0</v>
      </c>
      <c r="AK22" s="3">
        <v>1</v>
      </c>
      <c r="AL22" s="3">
        <v>1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</row>
    <row r="23" spans="1:45" x14ac:dyDescent="0.2">
      <c r="A23" s="1" t="s">
        <v>87</v>
      </c>
      <c r="B23" s="4" t="s">
        <v>88</v>
      </c>
      <c r="C23" s="4">
        <v>21901713</v>
      </c>
      <c r="D23" s="4"/>
      <c r="E23" s="9">
        <f t="shared" si="0"/>
        <v>17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0</v>
      </c>
      <c r="M23" s="3">
        <v>0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0</v>
      </c>
      <c r="U23" s="3">
        <v>1</v>
      </c>
      <c r="V23" s="3">
        <v>1</v>
      </c>
      <c r="W23" s="3">
        <v>0</v>
      </c>
      <c r="X23" s="3">
        <v>0</v>
      </c>
      <c r="Y23" s="3">
        <v>0</v>
      </c>
      <c r="Z23" s="3">
        <v>0</v>
      </c>
      <c r="AA23" s="10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1</v>
      </c>
      <c r="AL23" s="3">
        <v>1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</row>
    <row r="24" spans="1:45" x14ac:dyDescent="0.2">
      <c r="A24" s="1" t="s">
        <v>89</v>
      </c>
      <c r="B24" s="4" t="s">
        <v>90</v>
      </c>
      <c r="C24" s="4">
        <v>22503500</v>
      </c>
      <c r="D24" s="4"/>
      <c r="E24" s="9">
        <f t="shared" si="0"/>
        <v>27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0</v>
      </c>
      <c r="M24" s="3">
        <v>0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10">
        <v>0</v>
      </c>
      <c r="AB24" s="3">
        <v>1</v>
      </c>
      <c r="AC24" s="10">
        <v>0</v>
      </c>
      <c r="AD24" s="3">
        <v>1</v>
      </c>
      <c r="AE24" s="10">
        <v>1</v>
      </c>
      <c r="AF24" s="3">
        <v>1</v>
      </c>
      <c r="AG24" s="3">
        <v>0</v>
      </c>
      <c r="AH24" s="3">
        <v>0</v>
      </c>
      <c r="AI24" s="3">
        <v>1</v>
      </c>
      <c r="AJ24" s="3">
        <v>1</v>
      </c>
      <c r="AK24" s="3">
        <v>1</v>
      </c>
      <c r="AL24" s="3">
        <v>0</v>
      </c>
      <c r="AM24" s="3">
        <v>0</v>
      </c>
      <c r="AN24" s="3">
        <v>0</v>
      </c>
      <c r="AO24" s="3">
        <v>1</v>
      </c>
      <c r="AP24" s="3">
        <v>0</v>
      </c>
      <c r="AQ24" s="3">
        <v>0</v>
      </c>
      <c r="AR24" s="3">
        <v>0</v>
      </c>
      <c r="AS24" s="3">
        <v>0</v>
      </c>
    </row>
    <row r="25" spans="1:45" x14ac:dyDescent="0.2">
      <c r="A25" s="1" t="s">
        <v>91</v>
      </c>
      <c r="B25" s="4" t="s">
        <v>92</v>
      </c>
      <c r="C25" s="4">
        <v>22302033</v>
      </c>
      <c r="D25" s="4"/>
      <c r="E25" s="9">
        <f t="shared" si="0"/>
        <v>19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0</v>
      </c>
      <c r="L25" s="3">
        <v>0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10">
        <v>0</v>
      </c>
      <c r="AB25" s="3">
        <v>0</v>
      </c>
      <c r="AC25" s="3">
        <v>0</v>
      </c>
      <c r="AD25" s="3">
        <v>1</v>
      </c>
      <c r="AE25" s="3">
        <v>0</v>
      </c>
      <c r="AF25" s="3">
        <v>1</v>
      </c>
      <c r="AG25" s="3">
        <v>0</v>
      </c>
      <c r="AH25" s="3">
        <v>1</v>
      </c>
      <c r="AI25" s="3">
        <v>1</v>
      </c>
      <c r="AJ25" s="3">
        <v>1</v>
      </c>
      <c r="AK25" s="3">
        <v>1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</row>
    <row r="26" spans="1:45" x14ac:dyDescent="0.2">
      <c r="A26" s="1" t="s">
        <v>93</v>
      </c>
      <c r="B26" s="4" t="s">
        <v>94</v>
      </c>
      <c r="C26" s="4">
        <v>22305037</v>
      </c>
      <c r="D26" s="4"/>
      <c r="E26" s="9">
        <f t="shared" si="0"/>
        <v>20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0</v>
      </c>
      <c r="M26" s="3">
        <v>0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0</v>
      </c>
      <c r="U26" s="3">
        <v>1</v>
      </c>
      <c r="V26" s="3">
        <v>1</v>
      </c>
      <c r="W26" s="3">
        <v>1</v>
      </c>
      <c r="X26" s="3">
        <v>0</v>
      </c>
      <c r="Y26" s="3">
        <v>0</v>
      </c>
      <c r="Z26" s="3">
        <v>0</v>
      </c>
      <c r="AA26" s="10">
        <v>0</v>
      </c>
      <c r="AB26" s="3">
        <v>0</v>
      </c>
      <c r="AC26" s="3">
        <v>0</v>
      </c>
      <c r="AD26" s="3">
        <v>1</v>
      </c>
      <c r="AE26" s="3">
        <v>1</v>
      </c>
      <c r="AF26" s="3">
        <v>1</v>
      </c>
      <c r="AG26" s="3">
        <v>0</v>
      </c>
      <c r="AH26" s="3">
        <v>0</v>
      </c>
      <c r="AI26" s="3">
        <v>0</v>
      </c>
      <c r="AJ26" s="3">
        <v>0</v>
      </c>
      <c r="AK26" s="3">
        <v>1</v>
      </c>
      <c r="AL26" s="3">
        <v>1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</row>
    <row r="27" spans="1:45" x14ac:dyDescent="0.2">
      <c r="A27" s="1" t="s">
        <v>95</v>
      </c>
      <c r="B27" s="4" t="s">
        <v>96</v>
      </c>
      <c r="C27" s="4">
        <v>22506315</v>
      </c>
      <c r="D27" s="4"/>
      <c r="E27" s="9">
        <f t="shared" si="0"/>
        <v>8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1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5">
        <v>0</v>
      </c>
      <c r="U27" s="3">
        <v>0</v>
      </c>
      <c r="V27" s="5">
        <v>0</v>
      </c>
      <c r="W27" s="3">
        <v>0</v>
      </c>
      <c r="X27" s="3">
        <v>0</v>
      </c>
      <c r="Y27" s="3">
        <v>0</v>
      </c>
      <c r="Z27" s="3">
        <v>0</v>
      </c>
      <c r="AA27" s="10">
        <v>0</v>
      </c>
      <c r="AB27" s="3">
        <v>0</v>
      </c>
      <c r="AC27" s="3">
        <v>0</v>
      </c>
      <c r="AD27" s="3">
        <v>1</v>
      </c>
      <c r="AE27" s="3">
        <v>1</v>
      </c>
      <c r="AF27" s="3">
        <v>1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</row>
    <row r="28" spans="1:45" x14ac:dyDescent="0.2">
      <c r="A28" s="7" t="s">
        <v>97</v>
      </c>
      <c r="B28" s="8" t="s">
        <v>98</v>
      </c>
      <c r="C28" s="8">
        <v>22504657</v>
      </c>
      <c r="D28" s="8"/>
      <c r="E28" s="9">
        <f t="shared" si="0"/>
        <v>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30" spans="1:45" x14ac:dyDescent="0.2">
      <c r="D30" t="s">
        <v>100</v>
      </c>
      <c r="E30" s="11">
        <f>AVERAGE(E14:E27,E7:E12,E2:E6)</f>
        <v>17.48</v>
      </c>
    </row>
    <row r="31" spans="1:45" x14ac:dyDescent="0.2">
      <c r="D31" t="s">
        <v>99</v>
      </c>
      <c r="E31" s="12">
        <f>MEDIAN(E14:E27,E7:E12,E2:E5)</f>
        <v>18.5</v>
      </c>
    </row>
    <row r="32" spans="1:45" x14ac:dyDescent="0.2">
      <c r="D32" t="s">
        <v>101</v>
      </c>
      <c r="E32" s="13">
        <f>MAX(E14:E27,E7:E12,E2:E5)</f>
        <v>30</v>
      </c>
    </row>
    <row r="33" spans="4:5" x14ac:dyDescent="0.2">
      <c r="D33" t="s">
        <v>102</v>
      </c>
      <c r="E33" s="13">
        <f>MIN(E14:E27,E7:E12,E2:E5)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Di Bonifacio</dc:creator>
  <cp:lastModifiedBy>Carlos Di Bonifacio</cp:lastModifiedBy>
  <dcterms:created xsi:type="dcterms:W3CDTF">2025-11-10T16:11:42Z</dcterms:created>
  <dcterms:modified xsi:type="dcterms:W3CDTF">2025-11-10T20:38:51Z</dcterms:modified>
</cp:coreProperties>
</file>